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athworks-my.sharepoint.com/personal/mnaughto_mathworks_com/Documents/Projects/Personal Development/Expenses/Financial Planner Sheet/Version Histories/"/>
    </mc:Choice>
  </mc:AlternateContent>
  <xr:revisionPtr revIDLastSave="0" documentId="8_{BE7D5F0D-4A25-4E62-A3B9-EA95656A9057}" xr6:coauthVersionLast="47" xr6:coauthVersionMax="47" xr10:uidLastSave="{00000000-0000-0000-0000-000000000000}"/>
  <bookViews>
    <workbookView xWindow="3585" yWindow="45" windowWidth="28770" windowHeight="15450" tabRatio="853" firstSheet="2" activeTab="14" xr2:uid="{00000000-000D-0000-FFFF-FFFF00000000}"/>
  </bookViews>
  <sheets>
    <sheet name="README" sheetId="1" r:id="rId1"/>
    <sheet name="Income Statement" sheetId="2" r:id="rId2"/>
    <sheet name="CC Detail" sheetId="3" r:id="rId3"/>
    <sheet name="Solar ROI" sheetId="4" r:id="rId4"/>
    <sheet name="Balances" sheetId="5" r:id="rId5"/>
    <sheet name="Comp &amp; Benefits" sheetId="6" r:id="rId6"/>
    <sheet name="Scenarios" sheetId="7" r:id="rId7"/>
    <sheet name="Charts" sheetId="8" r:id="rId8"/>
    <sheet name="Imports - Checking" sheetId="9" r:id="rId9"/>
    <sheet name="Imports - Savings" sheetId="10" r:id="rId10"/>
    <sheet name="Imports - Barclay" sheetId="11" r:id="rId11"/>
    <sheet name="Rules" sheetId="12" r:id="rId12"/>
    <sheet name="Pension - Sue" sheetId="13" r:id="rId13"/>
    <sheet name="FIRE Dashboard" sheetId="14" r:id="rId14"/>
    <sheet name="Amazon Reconciliation" sheetId="15" r:id="rId15"/>
    <sheet name="Solar Reinvestment" sheetId="16" r:id="rId16"/>
    <sheet name="HSA Election Planner" sheetId="17" r:id="rId17"/>
    <sheet name="Monthly Entry" sheetId="18" r:id="rId18"/>
    <sheet name="Spending Guardrail"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19" l="1"/>
  <c r="C31" i="19"/>
  <c r="M30" i="19"/>
  <c r="L30" i="19"/>
  <c r="K30" i="19"/>
  <c r="J30" i="19"/>
  <c r="I30" i="19"/>
  <c r="H30" i="19"/>
  <c r="G30" i="19"/>
  <c r="F30" i="19"/>
  <c r="E30" i="19"/>
  <c r="D30" i="19"/>
  <c r="C30" i="19"/>
  <c r="B30" i="19"/>
  <c r="N30" i="19" s="1"/>
  <c r="B29" i="19"/>
  <c r="C29" i="19" s="1"/>
  <c r="D29" i="19" s="1"/>
  <c r="E29" i="19" s="1"/>
  <c r="F29" i="19" s="1"/>
  <c r="G29" i="19" s="1"/>
  <c r="H29" i="19" s="1"/>
  <c r="I29" i="19" s="1"/>
  <c r="J29" i="19" s="1"/>
  <c r="N28" i="19"/>
  <c r="M27" i="19"/>
  <c r="L27" i="19"/>
  <c r="K27" i="19"/>
  <c r="J27" i="19"/>
  <c r="I27" i="19"/>
  <c r="H27" i="19"/>
  <c r="G27" i="19"/>
  <c r="F27" i="19"/>
  <c r="E27" i="19"/>
  <c r="D27" i="19"/>
  <c r="C27" i="19"/>
  <c r="B27" i="19"/>
  <c r="N27" i="19" s="1"/>
  <c r="E26" i="19"/>
  <c r="F26" i="19" s="1"/>
  <c r="G26" i="19" s="1"/>
  <c r="H26" i="19" s="1"/>
  <c r="I26" i="19" s="1"/>
  <c r="J26" i="19" s="1"/>
  <c r="D26" i="19"/>
  <c r="C26" i="19"/>
  <c r="B26" i="19"/>
  <c r="N25" i="19"/>
  <c r="M24" i="19"/>
  <c r="L24" i="19"/>
  <c r="K24" i="19"/>
  <c r="J24" i="19"/>
  <c r="I24" i="19"/>
  <c r="H24" i="19"/>
  <c r="G24" i="19"/>
  <c r="F24" i="19"/>
  <c r="F31" i="19" s="1"/>
  <c r="E24" i="19"/>
  <c r="D24" i="19"/>
  <c r="C24" i="19"/>
  <c r="B24" i="19"/>
  <c r="N24" i="19" s="1"/>
  <c r="N22" i="19"/>
  <c r="M21" i="19"/>
  <c r="M31" i="19" s="1"/>
  <c r="L21" i="19"/>
  <c r="L31" i="19" s="1"/>
  <c r="K21" i="19"/>
  <c r="K31" i="19" s="1"/>
  <c r="J21" i="19"/>
  <c r="J31" i="19" s="1"/>
  <c r="I21" i="19"/>
  <c r="I31" i="19" s="1"/>
  <c r="H21" i="19"/>
  <c r="H31" i="19" s="1"/>
  <c r="G21" i="19"/>
  <c r="G31" i="19" s="1"/>
  <c r="F21" i="19"/>
  <c r="E21" i="19"/>
  <c r="E31" i="19" s="1"/>
  <c r="D21" i="19"/>
  <c r="C21" i="19"/>
  <c r="B21" i="19"/>
  <c r="B23" i="19" s="1"/>
  <c r="C17" i="19"/>
  <c r="B17" i="19"/>
  <c r="C16" i="19"/>
  <c r="B16" i="19"/>
  <c r="C15" i="19"/>
  <c r="B15" i="19"/>
  <c r="C14" i="19"/>
  <c r="B14" i="19"/>
  <c r="B8" i="19"/>
  <c r="B38" i="18"/>
  <c r="B30" i="18"/>
  <c r="B21" i="17"/>
  <c r="B22" i="17" s="1"/>
  <c r="B18" i="17"/>
  <c r="B14" i="17"/>
  <c r="B11" i="17"/>
  <c r="B9" i="17"/>
  <c r="B26" i="17" s="1"/>
  <c r="E71" i="16"/>
  <c r="D71" i="16"/>
  <c r="C71" i="16"/>
  <c r="B71" i="16"/>
  <c r="D70" i="16"/>
  <c r="C70" i="16"/>
  <c r="E70" i="16" s="1"/>
  <c r="B70" i="16"/>
  <c r="D69" i="16"/>
  <c r="B69" i="16"/>
  <c r="D68" i="16"/>
  <c r="C68" i="16"/>
  <c r="E68" i="16" s="1"/>
  <c r="B68" i="16"/>
  <c r="D67" i="16"/>
  <c r="B67" i="16"/>
  <c r="D66" i="16"/>
  <c r="C66" i="16"/>
  <c r="E66" i="16" s="1"/>
  <c r="B66" i="16"/>
  <c r="D65" i="16"/>
  <c r="B65" i="16"/>
  <c r="E64" i="16"/>
  <c r="D64" i="16"/>
  <c r="C64" i="16"/>
  <c r="B64" i="16"/>
  <c r="D63" i="16"/>
  <c r="B63" i="16"/>
  <c r="D62" i="16"/>
  <c r="B62" i="16"/>
  <c r="D61" i="16"/>
  <c r="C61" i="16"/>
  <c r="E61" i="16" s="1"/>
  <c r="B61" i="16"/>
  <c r="D60" i="16"/>
  <c r="B60" i="16"/>
  <c r="E59" i="16"/>
  <c r="D59" i="16"/>
  <c r="C59" i="16"/>
  <c r="B59" i="16"/>
  <c r="D58" i="16"/>
  <c r="C58" i="16"/>
  <c r="E58" i="16" s="1"/>
  <c r="B58" i="16"/>
  <c r="D57" i="16"/>
  <c r="B57" i="16"/>
  <c r="C56" i="16"/>
  <c r="B56" i="16"/>
  <c r="D55" i="16"/>
  <c r="B55" i="16"/>
  <c r="D54" i="16"/>
  <c r="C54" i="16"/>
  <c r="E54" i="16" s="1"/>
  <c r="B54" i="16"/>
  <c r="B53" i="16"/>
  <c r="E52" i="16"/>
  <c r="D52" i="16"/>
  <c r="C52" i="16"/>
  <c r="B52" i="16"/>
  <c r="D51" i="16"/>
  <c r="B51" i="16"/>
  <c r="B50" i="16"/>
  <c r="D49" i="16"/>
  <c r="C49" i="16"/>
  <c r="E49" i="16" s="1"/>
  <c r="B49" i="16"/>
  <c r="D48" i="16"/>
  <c r="B48" i="16"/>
  <c r="E47" i="16"/>
  <c r="G47" i="16" s="1"/>
  <c r="D47" i="16"/>
  <c r="C47" i="16"/>
  <c r="B47" i="16"/>
  <c r="B37" i="16"/>
  <c r="D53" i="16" s="1"/>
  <c r="B34" i="16"/>
  <c r="C60" i="16" s="1"/>
  <c r="E60" i="16" s="1"/>
  <c r="B33" i="16"/>
  <c r="E26" i="16"/>
  <c r="D26" i="16"/>
  <c r="C26" i="16"/>
  <c r="B26" i="16"/>
  <c r="F25" i="16"/>
  <c r="F24" i="16"/>
  <c r="F23" i="16"/>
  <c r="F22" i="16"/>
  <c r="F21" i="16"/>
  <c r="F20" i="16"/>
  <c r="F19" i="16"/>
  <c r="F18" i="16"/>
  <c r="F17" i="16"/>
  <c r="F16" i="16"/>
  <c r="F15" i="16"/>
  <c r="F14" i="16"/>
  <c r="F26" i="16" s="1"/>
  <c r="B9" i="16"/>
  <c r="B7" i="16"/>
  <c r="B5" i="16"/>
  <c r="C25" i="15"/>
  <c r="C22" i="15"/>
  <c r="B22" i="15"/>
  <c r="D22" i="15" s="1"/>
  <c r="M18" i="15"/>
  <c r="E18" i="15"/>
  <c r="B18" i="15"/>
  <c r="N17" i="15"/>
  <c r="M17" i="15"/>
  <c r="L17" i="15"/>
  <c r="K17" i="15"/>
  <c r="J17" i="15"/>
  <c r="I17" i="15"/>
  <c r="H17" i="15"/>
  <c r="G17" i="15"/>
  <c r="F17" i="15"/>
  <c r="E17" i="15"/>
  <c r="D17" i="15"/>
  <c r="D18" i="15" s="1"/>
  <c r="C17" i="15"/>
  <c r="C18" i="15" s="1"/>
  <c r="B17" i="15"/>
  <c r="N16" i="15"/>
  <c r="C28" i="15" s="1"/>
  <c r="N15" i="15"/>
  <c r="C27" i="15" s="1"/>
  <c r="N14" i="15"/>
  <c r="C26" i="15" s="1"/>
  <c r="N13" i="15"/>
  <c r="N12" i="15"/>
  <c r="C24" i="15" s="1"/>
  <c r="N11" i="15"/>
  <c r="C23" i="15" s="1"/>
  <c r="N10" i="15"/>
  <c r="M6" i="15"/>
  <c r="L6" i="15"/>
  <c r="L18" i="15" s="1"/>
  <c r="K6" i="15"/>
  <c r="K18" i="15" s="1"/>
  <c r="J6" i="15"/>
  <c r="J18" i="15" s="1"/>
  <c r="I6" i="15"/>
  <c r="I18" i="15" s="1"/>
  <c r="H6" i="15"/>
  <c r="H18" i="15" s="1"/>
  <c r="G6" i="15"/>
  <c r="G18" i="15" s="1"/>
  <c r="F6" i="15"/>
  <c r="F18" i="15" s="1"/>
  <c r="E6" i="15"/>
  <c r="D6" i="15"/>
  <c r="C6" i="15"/>
  <c r="B6" i="15"/>
  <c r="N6" i="15" s="1"/>
  <c r="N18" i="15" s="1"/>
  <c r="B61" i="14"/>
  <c r="B62" i="14" s="1"/>
  <c r="B59" i="14"/>
  <c r="B58" i="14"/>
  <c r="B39" i="14"/>
  <c r="B32" i="14"/>
  <c r="B36" i="14" s="1"/>
  <c r="B21" i="14"/>
  <c r="B12" i="14"/>
  <c r="B38" i="19" s="1"/>
  <c r="D50" i="13"/>
  <c r="G50" i="13" s="1"/>
  <c r="C50" i="13"/>
  <c r="F50" i="13" s="1"/>
  <c r="H50" i="13" s="1"/>
  <c r="B50" i="13"/>
  <c r="D49" i="13"/>
  <c r="E49" i="13" s="1"/>
  <c r="C49" i="13"/>
  <c r="G49" i="13" s="1"/>
  <c r="B49" i="13"/>
  <c r="I48" i="13"/>
  <c r="H48" i="13"/>
  <c r="J48" i="13" s="1"/>
  <c r="G48" i="13"/>
  <c r="F48" i="13"/>
  <c r="D48" i="13"/>
  <c r="E48" i="13" s="1"/>
  <c r="C48" i="13"/>
  <c r="B48" i="13"/>
  <c r="G47" i="13"/>
  <c r="F47" i="13"/>
  <c r="H47" i="13" s="1"/>
  <c r="E47" i="13"/>
  <c r="D47" i="13"/>
  <c r="C47" i="13"/>
  <c r="B47" i="13"/>
  <c r="D46" i="13"/>
  <c r="G46" i="13" s="1"/>
  <c r="C46" i="13"/>
  <c r="F46" i="13" s="1"/>
  <c r="B46" i="13"/>
  <c r="D45" i="13"/>
  <c r="E45" i="13" s="1"/>
  <c r="C45" i="13"/>
  <c r="G45" i="13" s="1"/>
  <c r="B45" i="13"/>
  <c r="I44" i="13"/>
  <c r="H44" i="13"/>
  <c r="J44" i="13" s="1"/>
  <c r="G44" i="13"/>
  <c r="F44" i="13"/>
  <c r="D44" i="13"/>
  <c r="E44" i="13" s="1"/>
  <c r="C44" i="13"/>
  <c r="B44" i="13"/>
  <c r="G43" i="13"/>
  <c r="F43" i="13"/>
  <c r="H43" i="13" s="1"/>
  <c r="E43" i="13"/>
  <c r="D43" i="13"/>
  <c r="C43" i="13"/>
  <c r="B43" i="13"/>
  <c r="D42" i="13"/>
  <c r="G42" i="13" s="1"/>
  <c r="C42" i="13"/>
  <c r="F42" i="13" s="1"/>
  <c r="H42" i="13" s="1"/>
  <c r="B42" i="13"/>
  <c r="D41" i="13"/>
  <c r="E41" i="13" s="1"/>
  <c r="C41" i="13"/>
  <c r="G41" i="13" s="1"/>
  <c r="B41" i="13"/>
  <c r="G40" i="13"/>
  <c r="F40" i="13"/>
  <c r="D40" i="13"/>
  <c r="E40" i="13" s="1"/>
  <c r="H40" i="13" s="1"/>
  <c r="C40" i="13"/>
  <c r="B40" i="13"/>
  <c r="G39" i="13"/>
  <c r="F39" i="13"/>
  <c r="H39" i="13" s="1"/>
  <c r="E39" i="13"/>
  <c r="D39" i="13"/>
  <c r="C39" i="13"/>
  <c r="B39" i="13"/>
  <c r="D38" i="13"/>
  <c r="G38" i="13" s="1"/>
  <c r="C38" i="13"/>
  <c r="F38" i="13" s="1"/>
  <c r="B38" i="13"/>
  <c r="B30" i="13"/>
  <c r="B28" i="13"/>
  <c r="B27" i="13"/>
  <c r="B29" i="13" s="1"/>
  <c r="B26" i="13"/>
  <c r="M47" i="8"/>
  <c r="L47" i="8"/>
  <c r="K47" i="8"/>
  <c r="J47" i="8"/>
  <c r="C47" i="8"/>
  <c r="M31" i="8"/>
  <c r="L31" i="8"/>
  <c r="K31" i="8"/>
  <c r="M8" i="8"/>
  <c r="L8" i="8"/>
  <c r="K8" i="8"/>
  <c r="J8" i="8"/>
  <c r="I8" i="8"/>
  <c r="H8" i="8"/>
  <c r="G8" i="8"/>
  <c r="F8" i="8"/>
  <c r="E8" i="8"/>
  <c r="D8" i="8"/>
  <c r="C8" i="8"/>
  <c r="B8" i="8"/>
  <c r="M7" i="8"/>
  <c r="L7" i="8"/>
  <c r="K7" i="8"/>
  <c r="J7" i="8"/>
  <c r="I7" i="8"/>
  <c r="H7" i="8"/>
  <c r="G7" i="8"/>
  <c r="F7" i="8"/>
  <c r="E7" i="8"/>
  <c r="D7" i="8"/>
  <c r="C7" i="8"/>
  <c r="B7" i="8"/>
  <c r="B23" i="7"/>
  <c r="F22" i="7"/>
  <c r="E22" i="7"/>
  <c r="D22" i="7"/>
  <c r="C22" i="7"/>
  <c r="C21" i="7"/>
  <c r="C23" i="7" s="1"/>
  <c r="F20" i="7"/>
  <c r="E20" i="7"/>
  <c r="D20" i="7"/>
  <c r="C20" i="7"/>
  <c r="F19" i="7"/>
  <c r="E19" i="7"/>
  <c r="D19" i="7"/>
  <c r="C19" i="7"/>
  <c r="F18" i="7"/>
  <c r="E18" i="7"/>
  <c r="D18" i="7"/>
  <c r="C18" i="7"/>
  <c r="F14" i="7"/>
  <c r="F13" i="7"/>
  <c r="F12" i="7"/>
  <c r="E21" i="7" s="1"/>
  <c r="E23" i="7" s="1"/>
  <c r="E26" i="6"/>
  <c r="C26" i="6"/>
  <c r="E13" i="6"/>
  <c r="E12" i="6"/>
  <c r="E11" i="6"/>
  <c r="J18" i="5"/>
  <c r="M17" i="5"/>
  <c r="L17" i="5"/>
  <c r="M18" i="5" s="1"/>
  <c r="K17" i="5"/>
  <c r="L18" i="5" s="1"/>
  <c r="J17" i="5"/>
  <c r="K18" i="5" s="1"/>
  <c r="I17" i="5"/>
  <c r="I47" i="8" s="1"/>
  <c r="H17" i="5"/>
  <c r="H47" i="8" s="1"/>
  <c r="G17" i="5"/>
  <c r="H18" i="5" s="1"/>
  <c r="F17" i="5"/>
  <c r="G18" i="5" s="1"/>
  <c r="E17" i="5"/>
  <c r="E47" i="8" s="1"/>
  <c r="D17" i="5"/>
  <c r="D47" i="8" s="1"/>
  <c r="C17" i="5"/>
  <c r="D18" i="5" s="1"/>
  <c r="B17" i="5"/>
  <c r="B47" i="8" s="1"/>
  <c r="B15" i="4"/>
  <c r="B19" i="4" s="1"/>
  <c r="N11" i="4"/>
  <c r="M11" i="4"/>
  <c r="L11" i="4"/>
  <c r="K11" i="4"/>
  <c r="J11" i="4"/>
  <c r="I11" i="4"/>
  <c r="H11" i="4"/>
  <c r="G11" i="4"/>
  <c r="F11" i="4"/>
  <c r="E11" i="4"/>
  <c r="D11" i="4"/>
  <c r="C11" i="4"/>
  <c r="B11" i="4"/>
  <c r="B12" i="4" s="1"/>
  <c r="N10" i="4"/>
  <c r="N9" i="4"/>
  <c r="N7" i="4"/>
  <c r="E31" i="8" s="1"/>
  <c r="N6" i="4"/>
  <c r="N5" i="4"/>
  <c r="H21" i="3"/>
  <c r="G21" i="3"/>
  <c r="F21" i="3"/>
  <c r="E21" i="3"/>
  <c r="C21" i="3"/>
  <c r="B21" i="3"/>
  <c r="N20" i="3"/>
  <c r="M18" i="3"/>
  <c r="M21" i="3" s="1"/>
  <c r="L18" i="3"/>
  <c r="L21" i="3" s="1"/>
  <c r="K18" i="3"/>
  <c r="K21" i="3" s="1"/>
  <c r="J18" i="3"/>
  <c r="J21" i="3" s="1"/>
  <c r="I18" i="3"/>
  <c r="I21" i="3" s="1"/>
  <c r="H18" i="3"/>
  <c r="G18" i="3"/>
  <c r="F18" i="3"/>
  <c r="E18" i="3"/>
  <c r="D18" i="3"/>
  <c r="D21" i="3" s="1"/>
  <c r="C18" i="3"/>
  <c r="B18" i="3"/>
  <c r="N17" i="3"/>
  <c r="B28" i="15" s="1"/>
  <c r="D28" i="15" s="1"/>
  <c r="N16" i="3"/>
  <c r="N15" i="3"/>
  <c r="N14" i="3"/>
  <c r="N13" i="3"/>
  <c r="B26" i="15" s="1"/>
  <c r="D26" i="15" s="1"/>
  <c r="N12" i="3"/>
  <c r="B25" i="15" s="1"/>
  <c r="D25" i="15" s="1"/>
  <c r="N11" i="3"/>
  <c r="B24" i="15" s="1"/>
  <c r="N10" i="3"/>
  <c r="N9" i="3"/>
  <c r="B23" i="15" s="1"/>
  <c r="N8" i="3"/>
  <c r="B27" i="15" s="1"/>
  <c r="D27" i="15" s="1"/>
  <c r="N7" i="3"/>
  <c r="N6" i="3"/>
  <c r="N5" i="3"/>
  <c r="N18" i="3" s="1"/>
  <c r="N21" i="3" s="1"/>
  <c r="J62" i="2"/>
  <c r="L60" i="2"/>
  <c r="K60" i="2"/>
  <c r="J60" i="2"/>
  <c r="I60" i="2"/>
  <c r="N58" i="2"/>
  <c r="O58" i="2" s="1"/>
  <c r="M58" i="2"/>
  <c r="L58" i="2"/>
  <c r="K58" i="2"/>
  <c r="J58" i="2"/>
  <c r="I58" i="2"/>
  <c r="H58" i="2"/>
  <c r="G58" i="2"/>
  <c r="F58" i="2"/>
  <c r="E58" i="2"/>
  <c r="D58" i="2"/>
  <c r="C58" i="2"/>
  <c r="B58" i="2"/>
  <c r="O57" i="2"/>
  <c r="N57" i="2"/>
  <c r="O56" i="2"/>
  <c r="N56" i="2"/>
  <c r="O55" i="2"/>
  <c r="N55" i="2"/>
  <c r="N54" i="2"/>
  <c r="O54" i="2" s="1"/>
  <c r="O50" i="2"/>
  <c r="N50" i="2"/>
  <c r="O49" i="2"/>
  <c r="N49" i="2"/>
  <c r="O48" i="2"/>
  <c r="N48" i="2"/>
  <c r="O47" i="2"/>
  <c r="N47" i="2"/>
  <c r="O46" i="2"/>
  <c r="N46" i="2"/>
  <c r="O45" i="2"/>
  <c r="N45" i="2"/>
  <c r="O44" i="2"/>
  <c r="N44" i="2"/>
  <c r="O43" i="2"/>
  <c r="N43" i="2"/>
  <c r="O42" i="2"/>
  <c r="N42" i="2"/>
  <c r="O41" i="2"/>
  <c r="N41" i="2"/>
  <c r="O40" i="2"/>
  <c r="N40" i="2"/>
  <c r="O39" i="2"/>
  <c r="N39" i="2"/>
  <c r="O38" i="2"/>
  <c r="N38" i="2"/>
  <c r="N51" i="2" s="1"/>
  <c r="O51" i="2" s="1"/>
  <c r="O35" i="2"/>
  <c r="N35" i="2"/>
  <c r="M35" i="2"/>
  <c r="M60" i="2" s="1"/>
  <c r="L35" i="2"/>
  <c r="K35" i="2"/>
  <c r="J35" i="2"/>
  <c r="I35" i="2"/>
  <c r="H35" i="2"/>
  <c r="H60" i="2" s="1"/>
  <c r="H62" i="2" s="1"/>
  <c r="G35" i="2"/>
  <c r="G60" i="2" s="1"/>
  <c r="F35" i="2"/>
  <c r="F60" i="2" s="1"/>
  <c r="E35" i="2"/>
  <c r="E60" i="2" s="1"/>
  <c r="D35" i="2"/>
  <c r="D60" i="2" s="1"/>
  <c r="C35" i="2"/>
  <c r="C60" i="2" s="1"/>
  <c r="B35" i="2"/>
  <c r="B60" i="2" s="1"/>
  <c r="B62" i="2" s="1"/>
  <c r="B66" i="2" s="1"/>
  <c r="B68" i="2" s="1"/>
  <c r="C65" i="2" s="1"/>
  <c r="O34" i="2"/>
  <c r="N34" i="2"/>
  <c r="O33" i="2"/>
  <c r="N33" i="2"/>
  <c r="O32" i="2"/>
  <c r="N32" i="2"/>
  <c r="O28" i="2"/>
  <c r="N28" i="2"/>
  <c r="O27" i="2"/>
  <c r="N27" i="2"/>
  <c r="O26" i="2"/>
  <c r="N26" i="2"/>
  <c r="O25" i="2"/>
  <c r="N25" i="2"/>
  <c r="O24" i="2"/>
  <c r="N24" i="2"/>
  <c r="O23" i="2"/>
  <c r="N23" i="2"/>
  <c r="O22" i="2"/>
  <c r="N22" i="2"/>
  <c r="O21" i="2"/>
  <c r="N21" i="2"/>
  <c r="O20" i="2"/>
  <c r="N20" i="2"/>
  <c r="O19" i="2"/>
  <c r="N19" i="2"/>
  <c r="N29" i="2" s="1"/>
  <c r="O18" i="2"/>
  <c r="N18" i="2"/>
  <c r="M15" i="2"/>
  <c r="M6" i="8" s="1"/>
  <c r="L15" i="2"/>
  <c r="L6" i="8" s="1"/>
  <c r="K15" i="2"/>
  <c r="K6" i="8" s="1"/>
  <c r="J15" i="2"/>
  <c r="J6" i="8" s="1"/>
  <c r="I15" i="2"/>
  <c r="I62" i="2" s="1"/>
  <c r="H15" i="2"/>
  <c r="H6" i="8" s="1"/>
  <c r="G15" i="2"/>
  <c r="G62" i="2" s="1"/>
  <c r="F15" i="2"/>
  <c r="F62" i="2" s="1"/>
  <c r="E15" i="2"/>
  <c r="E6" i="8" s="1"/>
  <c r="D15" i="2"/>
  <c r="C15" i="2"/>
  <c r="B15" i="2"/>
  <c r="B6" i="8" s="1"/>
  <c r="O14" i="2"/>
  <c r="N14" i="2"/>
  <c r="O13" i="2"/>
  <c r="N13" i="2"/>
  <c r="O12" i="2"/>
  <c r="N12" i="2"/>
  <c r="O11" i="2"/>
  <c r="N11" i="2"/>
  <c r="O10" i="2"/>
  <c r="N10" i="2"/>
  <c r="O9" i="2"/>
  <c r="N9" i="2"/>
  <c r="O8" i="2"/>
  <c r="N8" i="2"/>
  <c r="O7" i="2"/>
  <c r="N7" i="2"/>
  <c r="N15" i="2" s="1"/>
  <c r="D24" i="15" l="1"/>
  <c r="J43" i="13"/>
  <c r="I43" i="13"/>
  <c r="C66" i="2"/>
  <c r="C68" i="2" s="1"/>
  <c r="D65" i="2" s="1"/>
  <c r="H46" i="13"/>
  <c r="B25" i="17"/>
  <c r="C23" i="19"/>
  <c r="B32" i="19"/>
  <c r="B24" i="17"/>
  <c r="B23" i="17"/>
  <c r="E56" i="16"/>
  <c r="O15" i="2"/>
  <c r="J42" i="13"/>
  <c r="I42" i="13"/>
  <c r="K26" i="19"/>
  <c r="L26" i="19" s="1"/>
  <c r="M26" i="19" s="1"/>
  <c r="N26" i="19" s="1"/>
  <c r="D15" i="19"/>
  <c r="E15" i="19" s="1"/>
  <c r="J39" i="13"/>
  <c r="I39" i="13"/>
  <c r="J50" i="13"/>
  <c r="I50" i="13"/>
  <c r="G48" i="16"/>
  <c r="G49" i="16" s="1"/>
  <c r="G50" i="16" s="1"/>
  <c r="G51" i="16" s="1"/>
  <c r="G52" i="16" s="1"/>
  <c r="G53" i="16" s="1"/>
  <c r="G54" i="16" s="1"/>
  <c r="G55" i="16" s="1"/>
  <c r="G56" i="16" s="1"/>
  <c r="G57" i="16" s="1"/>
  <c r="G58" i="16" s="1"/>
  <c r="G59" i="16" s="1"/>
  <c r="G60" i="16" s="1"/>
  <c r="G61" i="16" s="1"/>
  <c r="D16" i="19"/>
  <c r="E16" i="19" s="1"/>
  <c r="K29" i="19"/>
  <c r="L29" i="19" s="1"/>
  <c r="M29" i="19" s="1"/>
  <c r="N29" i="19" s="1"/>
  <c r="B30" i="8"/>
  <c r="C12" i="4"/>
  <c r="C62" i="2"/>
  <c r="D23" i="15"/>
  <c r="B36" i="19"/>
  <c r="I47" i="13"/>
  <c r="J47" i="13"/>
  <c r="D62" i="2"/>
  <c r="O29" i="2"/>
  <c r="N60" i="2"/>
  <c r="N62" i="2" s="1"/>
  <c r="I40" i="13"/>
  <c r="J40" i="13"/>
  <c r="K62" i="2"/>
  <c r="C6" i="8"/>
  <c r="E62" i="2"/>
  <c r="C18" i="5"/>
  <c r="F6" i="8"/>
  <c r="F31" i="8"/>
  <c r="F47" i="8"/>
  <c r="F41" i="13"/>
  <c r="H41" i="13" s="1"/>
  <c r="F45" i="13"/>
  <c r="H45" i="13" s="1"/>
  <c r="F49" i="13"/>
  <c r="H49" i="13" s="1"/>
  <c r="C55" i="16"/>
  <c r="E55" i="16" s="1"/>
  <c r="C67" i="16"/>
  <c r="E67" i="16" s="1"/>
  <c r="G6" i="8"/>
  <c r="G31" i="8"/>
  <c r="G47" i="8"/>
  <c r="B31" i="13"/>
  <c r="B32" i="13" s="1"/>
  <c r="B33" i="13" s="1"/>
  <c r="B49" i="14"/>
  <c r="C50" i="16"/>
  <c r="E50" i="16" s="1"/>
  <c r="C62" i="16"/>
  <c r="E62" i="16" s="1"/>
  <c r="I18" i="5"/>
  <c r="E18" i="5"/>
  <c r="H31" i="8"/>
  <c r="D50" i="16"/>
  <c r="C57" i="16"/>
  <c r="E57" i="16" s="1"/>
  <c r="C69" i="16"/>
  <c r="E69" i="16" s="1"/>
  <c r="F18" i="5"/>
  <c r="I6" i="8"/>
  <c r="I31" i="8"/>
  <c r="J31" i="8"/>
  <c r="B31" i="19"/>
  <c r="N31" i="19" s="1"/>
  <c r="B35" i="19" s="1"/>
  <c r="F47" i="16"/>
  <c r="N21" i="19"/>
  <c r="M62" i="2"/>
  <c r="B16" i="4"/>
  <c r="B17" i="4" s="1"/>
  <c r="B18" i="4" s="1"/>
  <c r="D21" i="7"/>
  <c r="D23" i="7" s="1"/>
  <c r="B31" i="8"/>
  <c r="E38" i="13"/>
  <c r="H38" i="13" s="1"/>
  <c r="E42" i="13"/>
  <c r="E46" i="13"/>
  <c r="E50" i="13"/>
  <c r="C51" i="16"/>
  <c r="E51" i="16" s="1"/>
  <c r="D56" i="16"/>
  <c r="C63" i="16"/>
  <c r="E63" i="16" s="1"/>
  <c r="C31" i="8"/>
  <c r="L62" i="2"/>
  <c r="F21" i="7"/>
  <c r="F23" i="7" s="1"/>
  <c r="D6" i="8"/>
  <c r="D31" i="8"/>
  <c r="C53" i="16"/>
  <c r="E53" i="16" s="1"/>
  <c r="C65" i="16"/>
  <c r="E65" i="16" s="1"/>
  <c r="C48" i="16"/>
  <c r="E48" i="16" s="1"/>
  <c r="C52" i="13" l="1"/>
  <c r="J38" i="13"/>
  <c r="I38" i="13"/>
  <c r="B34" i="13"/>
  <c r="B40" i="14"/>
  <c r="B42" i="14" s="1"/>
  <c r="C73" i="16"/>
  <c r="B37" i="19"/>
  <c r="B39" i="19" s="1"/>
  <c r="D23" i="19"/>
  <c r="C32" i="19"/>
  <c r="J46" i="13"/>
  <c r="I46" i="13"/>
  <c r="F48" i="16"/>
  <c r="H47" i="16"/>
  <c r="G62" i="16"/>
  <c r="G63" i="16" s="1"/>
  <c r="G64" i="16" s="1"/>
  <c r="G65" i="16" s="1"/>
  <c r="G66" i="16" s="1"/>
  <c r="G67" i="16" s="1"/>
  <c r="G68" i="16" s="1"/>
  <c r="G69" i="16" s="1"/>
  <c r="G70" i="16" s="1"/>
  <c r="G71" i="16" s="1"/>
  <c r="D66" i="2"/>
  <c r="D68" i="2" s="1"/>
  <c r="E65" i="2" s="1"/>
  <c r="E66" i="2" s="1"/>
  <c r="E68" i="2" s="1"/>
  <c r="F65" i="2" s="1"/>
  <c r="F66" i="2" s="1"/>
  <c r="F68" i="2" s="1"/>
  <c r="G65" i="2" s="1"/>
  <c r="G66" i="2" s="1"/>
  <c r="G68" i="2" s="1"/>
  <c r="H65" i="2" s="1"/>
  <c r="H66" i="2" s="1"/>
  <c r="H68" i="2" s="1"/>
  <c r="I65" i="2" s="1"/>
  <c r="I66" i="2" s="1"/>
  <c r="I68" i="2" s="1"/>
  <c r="J65" i="2" s="1"/>
  <c r="J66" i="2" s="1"/>
  <c r="J68" i="2" s="1"/>
  <c r="K65" i="2" s="1"/>
  <c r="K66" i="2" s="1"/>
  <c r="K68" i="2" s="1"/>
  <c r="L65" i="2" s="1"/>
  <c r="L66" i="2" s="1"/>
  <c r="L68" i="2" s="1"/>
  <c r="M65" i="2" s="1"/>
  <c r="M66" i="2" s="1"/>
  <c r="M68" i="2" s="1"/>
  <c r="J49" i="13"/>
  <c r="I49" i="13"/>
  <c r="C30" i="8"/>
  <c r="D12" i="4"/>
  <c r="J45" i="13"/>
  <c r="I45" i="13"/>
  <c r="B51" i="14"/>
  <c r="B50" i="14"/>
  <c r="J41" i="13"/>
  <c r="I41" i="13"/>
  <c r="B43" i="14" l="1"/>
  <c r="B44" i="14"/>
  <c r="D30" i="8"/>
  <c r="E12" i="4"/>
  <c r="D32" i="19"/>
  <c r="E23" i="19"/>
  <c r="F49" i="16"/>
  <c r="H48" i="16"/>
  <c r="C53" i="13"/>
  <c r="A69" i="14" s="1"/>
  <c r="H49" i="16" l="1"/>
  <c r="F50" i="16"/>
  <c r="E32" i="19"/>
  <c r="F23" i="19"/>
  <c r="E30" i="8"/>
  <c r="F12" i="4"/>
  <c r="F51" i="16" l="1"/>
  <c r="H50" i="16"/>
  <c r="F30" i="8"/>
  <c r="G12" i="4"/>
  <c r="F32" i="19"/>
  <c r="G23" i="19"/>
  <c r="G32" i="19" l="1"/>
  <c r="H23" i="19"/>
  <c r="G30" i="8"/>
  <c r="H12" i="4"/>
  <c r="F52" i="16"/>
  <c r="H51" i="16"/>
  <c r="I23" i="19" l="1"/>
  <c r="H32" i="19"/>
  <c r="H52" i="16"/>
  <c r="F53" i="16"/>
  <c r="H30" i="8"/>
  <c r="I12" i="4"/>
  <c r="I30" i="8" l="1"/>
  <c r="J12" i="4"/>
  <c r="F54" i="16"/>
  <c r="H53" i="16"/>
  <c r="J23" i="19"/>
  <c r="I32" i="19"/>
  <c r="D14" i="19" l="1"/>
  <c r="E14" i="19" s="1"/>
  <c r="J32" i="19"/>
  <c r="D17" i="19" s="1"/>
  <c r="E17" i="19" s="1"/>
  <c r="K23" i="19"/>
  <c r="H54" i="16"/>
  <c r="F55" i="16"/>
  <c r="J30" i="8"/>
  <c r="K12" i="4"/>
  <c r="K30" i="8" l="1"/>
  <c r="L12" i="4"/>
  <c r="F56" i="16"/>
  <c r="H55" i="16"/>
  <c r="L23" i="19"/>
  <c r="K32" i="19"/>
  <c r="M23" i="19" l="1"/>
  <c r="L32" i="19"/>
  <c r="F57" i="16"/>
  <c r="H56" i="16"/>
  <c r="L30" i="8"/>
  <c r="M12" i="4"/>
  <c r="M30" i="8" s="1"/>
  <c r="H57" i="16" l="1"/>
  <c r="F58" i="16"/>
  <c r="N23" i="19"/>
  <c r="M32" i="19"/>
  <c r="N32" i="19" s="1"/>
  <c r="F59" i="16" l="1"/>
  <c r="H58" i="16"/>
  <c r="F60" i="16" l="1"/>
  <c r="H59" i="16"/>
  <c r="F61" i="16" l="1"/>
  <c r="H60" i="16"/>
  <c r="H61" i="16" l="1"/>
  <c r="F62" i="16"/>
  <c r="F63" i="16" l="1"/>
  <c r="H62" i="16"/>
  <c r="F64" i="16" l="1"/>
  <c r="H63" i="16"/>
  <c r="H64" i="16" l="1"/>
  <c r="F65" i="16"/>
  <c r="F66" i="16" l="1"/>
  <c r="H65" i="16"/>
  <c r="H66" i="16" l="1"/>
  <c r="F67" i="16"/>
  <c r="F68" i="16" l="1"/>
  <c r="H67" i="16"/>
  <c r="F69" i="16" l="1"/>
  <c r="H68" i="16"/>
  <c r="H69" i="16" l="1"/>
  <c r="F70" i="16"/>
  <c r="F71" i="16" l="1"/>
  <c r="H70" i="16"/>
  <c r="H71" i="16" l="1"/>
  <c r="C75" i="16"/>
  <c r="C76" i="16" s="1"/>
  <c r="C74" i="16"/>
</calcChain>
</file>

<file path=xl/sharedStrings.xml><?xml version="1.0" encoding="utf-8"?>
<sst xmlns="http://schemas.openxmlformats.org/spreadsheetml/2006/main" count="927" uniqueCount="708">
  <si>
    <t>Family Income Statement 2026 — v4</t>
  </si>
  <si>
    <t>TABS:</t>
  </si>
  <si>
    <t xml:space="preserve">  README          — this guide</t>
  </si>
  <si>
    <t xml:space="preserve">  Income Statement — main monthly P&amp;L</t>
  </si>
  <si>
    <t xml:space="preserve">  CC Detail       — categorized variable spending (auto)</t>
  </si>
  <si>
    <t xml:space="preserve">  Solar ROI       — capital, monthly savings, payback</t>
  </si>
  <si>
    <t xml:space="preserve">  Balances        — month-end account snapshots</t>
  </si>
  <si>
    <t xml:space="preserve">  Comp &amp; Benefits — Matt 401k, Sue pension/403b, FSA tracking</t>
  </si>
  <si>
    <t xml:space="preserve">  Scenarios       — financial what-if analysis</t>
  </si>
  <si>
    <t xml:space="preserve">  Charts          — auto-generated charts (run from menu)</t>
  </si>
  <si>
    <t xml:space="preserve">  Imports - Checking / Savings / Barclay — paste raw CSVs here</t>
  </si>
  <si>
    <t xml:space="preserve">  Rules           — merchant -&gt; category mappings</t>
  </si>
  <si>
    <t>MENU (after running the Apps Script):</t>
  </si>
  <si>
    <t xml:space="preserve">  📊 Family Finances</t>
  </si>
  <si>
    <t xml:space="preserve">    → Categorize &amp; Roll Up      (process Imports tabs)</t>
  </si>
  <si>
    <t xml:space="preserve">    → Generate / Refresh Charts (build/update Charts tab)</t>
  </si>
  <si>
    <t xml:space="preserve">    → Clear All Imports         (wipe Imports tabs after monthly run)</t>
  </si>
  <si>
    <t xml:space="preserve">    → Roll Over to Next Year    (carry forward balances, archive 2026)</t>
  </si>
  <si>
    <t xml:space="preserve">    → Clear CC Detail           (reset categorized totals)</t>
  </si>
  <si>
    <t>MONTHLY ROUTINE (5 min):</t>
  </si>
  <si>
    <t xml:space="preserve">  1. Download CSVs from Capital One (both accounts) and Barclaycard.</t>
  </si>
  <si>
    <t xml:space="preserve">     Use full YTD date range (Jan 1 to today) — paste-replaces previous data.</t>
  </si>
  <si>
    <t xml:space="preserve">  2. Paste each CSV into its matching Imports tab (overwrite previous month).</t>
  </si>
  <si>
    <t xml:space="preserve">  3. Run: 📊 Family Finances → Categorize &amp; Roll Up.</t>
  </si>
  <si>
    <t xml:space="preserve">  4. Yellow rows in Imports = uncategorized — review and add rules if needed.</t>
  </si>
  <si>
    <t xml:space="preserve">  5. Update Balances tab with month-end account balances.</t>
  </si>
  <si>
    <t xml:space="preserve">  6. Update Solar ROI with the actual electric bill.</t>
  </si>
  <si>
    <t xml:space="preserve">  7. Enter the actual ending checking balance in Reconciliation row.</t>
  </si>
  <si>
    <t xml:space="preserve">     If Variance is near zero, your tracking is correct.</t>
  </si>
  <si>
    <t xml:space="preserve">  8. (Optional) Run: Generate / Refresh Charts to update visuals.</t>
  </si>
  <si>
    <t>YEAR-END ROUTINE (10 min):</t>
  </si>
  <si>
    <t xml:space="preserve">  1. Make sure all 12 months of 2026 are filled in.</t>
  </si>
  <si>
    <t xml:space="preserve">  2. File → Make a copy. Rename original to 'FIS 2026 (archived)'.</t>
  </si>
  <si>
    <t xml:space="preserve">  3. In the new copy, run: 📊 Family Finances → Roll Over to Next Year.</t>
  </si>
  <si>
    <t xml:space="preserve">     This clears 2026 monthly data and carries Dec balances → Jan 2027.</t>
  </si>
  <si>
    <t xml:space="preserve">  4. Update the title on the Income Statement tab (cell A1).</t>
  </si>
  <si>
    <t xml:space="preserve">  5. Update Solar ROI baseline values for the new year.</t>
  </si>
  <si>
    <t>WHY THE OLD SHEET SHOWED A DEFICIT THAT WASN'T REAL:</t>
  </si>
  <si>
    <t xml:space="preserve">  - Logging the Barclaycard payment (~$5-8k/mo) AS an expense, while individual</t>
  </si>
  <si>
    <t xml:space="preserve">    purchases on the card were ALSO categorized -&gt; double-counting.</t>
  </si>
  <si>
    <t xml:space="preserve">  - Childcare under-logged: spreadsheet had ~$350/mo, actual = ~$880/mo.</t>
  </si>
  <si>
    <t xml:space="preserve">  - Mortgage under-logged: spreadsheet had $3,254/mo, actual ~$3,562/mo average</t>
  </si>
  <si>
    <t xml:space="preserve">    (biweekly payments yield 26/yr = 13 monthly equivalents).</t>
  </si>
  <si>
    <t xml:space="preserve">  - Income under-logged: tuition reimbursement (~$3,634 YTD), MathWorks expense</t>
  </si>
  <si>
    <t xml:space="preserve">    reimbursements, FSA Dep Care reimbursement (~$4,000 March lump),</t>
  </si>
  <si>
    <t xml:space="preserve">    Q4 stakeholder bonus, Q4 401k true-up, Amazon refunds, Barclaycard rewards,</t>
  </si>
  <si>
    <t xml:space="preserve">    MA tax refund — all were buried in the catch-all 'Misc' line.</t>
  </si>
  <si>
    <t>FSA DEP CARE — CONFIRMED, IT REALLY DOES CAUSE A TEMPORARY DEFICIT:</t>
  </si>
  <si>
    <t xml:space="preserve">  - $153.85 deducted pre-tax from each MathWorks paycheck (you never see it).</t>
  </si>
  <si>
    <t xml:space="preserve">  - 26 paychecks × $153.85 = $4,000/year going into the FSA bucket.</t>
  </si>
  <si>
    <t xml:space="preserve">  - Childcare paid out of pocket throughout the year (~$880/mo via checks).</t>
  </si>
  <si>
    <t xml:space="preserve">  - You submit receipts and get reimbursed up to $4,000 — typically as a</t>
  </si>
  <si>
    <t xml:space="preserve">    lump deposit in March.</t>
  </si>
  <si>
    <t xml:space="preserve">  - Net effect: doesn't change annual cash flow, just timing within the year</t>
  </si>
  <si>
    <t xml:space="preserve">    (and saves you ~$1k/yr in taxes).</t>
  </si>
  <si>
    <t>MATTHEW Q4 LUMP SUMS (MathWorks):</t>
  </si>
  <si>
    <t xml:space="preserve">  - 401k contribution: 22% (auto-incr 1%/yr, cap 50%). Plan auto-caps at</t>
  </si>
  <si>
    <t xml:space="preserve">    $23,500/yr — Matt is already maxed (22% × ~$144k = $31.8k &gt; limit).</t>
  </si>
  <si>
    <t xml:space="preserve">    Matt typically maxes out by mid-September; Q4 paychecks then have no</t>
  </si>
  <si>
    <t xml:space="preserve">    401k deduction (richer take-home).</t>
  </si>
  <si>
    <t xml:space="preserve">  - 401k match: throughout the year, MW matches first 3% of pay; in Q4,</t>
  </si>
  <si>
    <t xml:space="preserve">    they typically true-up to 6% (effectively doubling). Goes into 401k account,</t>
  </si>
  <si>
    <t xml:space="preserve">    NOT checking — tracked on Comp &amp; Benefits tab.</t>
  </si>
  <si>
    <t xml:space="preserve">  - Q4 stakeholder bonus: usually doubled at year-end. The doubling deposit</t>
  </si>
  <si>
    <t xml:space="preserve">    DOES hit checking as a separate direct deposit (~$300+, varies by year).</t>
  </si>
  <si>
    <t xml:space="preserve">    Tracked on Income Statement as 'Q4 stakeholder bonus'.</t>
  </si>
  <si>
    <t>STRATEGIC NOTE — Matt's 401k is FULL:</t>
  </si>
  <si>
    <t xml:space="preserve">  Because Matt is already maxed at the $23,500 cap, redirecting freed cash</t>
  </si>
  <si>
    <t xml:space="preserve">  flow toward Matt's 401k adds $0. Best buckets for incremental savings:</t>
  </si>
  <si>
    <t xml:space="preserve">    1. Sue 403b (currently $0; restart + annual rollover to escape Equitable fees)</t>
  </si>
  <si>
    <t xml:space="preserve">    2. Backdoor Roth IRA × 2 ($14,000/yr capacity)</t>
  </si>
  <si>
    <t xml:space="preserve">    3. HSA if MW offers HDHP option (triple tax advantage)</t>
  </si>
  <si>
    <t xml:space="preserve">    4. 529 increase (MA tax deduction up to $2k joint = ~$100/yr savings)</t>
  </si>
  <si>
    <t xml:space="preserve">    5. Taxable brokerage (last resort)</t>
  </si>
  <si>
    <t xml:space="preserve">  See Scenarios tab for side-by-side comparisons.</t>
  </si>
  <si>
    <t>COLOR LEGEND:</t>
  </si>
  <si>
    <t xml:space="preserve">  Yellow cell = input you fill in</t>
  </si>
  <si>
    <t xml:space="preserve">  Green cell  = a rule (Rules tab) or auto-categorized</t>
  </si>
  <si>
    <t xml:space="preserve">  Orange cell = scenario input (Scenarios tab)</t>
  </si>
  <si>
    <t xml:space="preserve">  Blue header = section</t>
  </si>
  <si>
    <t xml:space="preserve">  Red number  = warning / negative variance</t>
  </si>
  <si>
    <t xml:space="preserve">  Green number = positive / good variance</t>
  </si>
  <si>
    <t>Family Income Statement — 2026</t>
  </si>
  <si>
    <t>Yellow = enter values. White = formulas. Some lines pull from CC Detail or Solar ROI.</t>
  </si>
  <si>
    <t>Category</t>
  </si>
  <si>
    <t>Jan</t>
  </si>
  <si>
    <t>Feb</t>
  </si>
  <si>
    <t>Mar</t>
  </si>
  <si>
    <t>Apr</t>
  </si>
  <si>
    <t>May</t>
  </si>
  <si>
    <t>Jun</t>
  </si>
  <si>
    <t>Jul</t>
  </si>
  <si>
    <t>Aug</t>
  </si>
  <si>
    <t>Sep</t>
  </si>
  <si>
    <t>Oct</t>
  </si>
  <si>
    <t>Nov</t>
  </si>
  <si>
    <t>Dec</t>
  </si>
  <si>
    <t>YTD Total</t>
  </si>
  <si>
    <t>Avg/mo</t>
  </si>
  <si>
    <t>INCOME</t>
  </si>
  <si>
    <t xml:space="preserve">    Sue — net pay (Town of Sharon)</t>
  </si>
  <si>
    <t xml:space="preserve">    Matt — net pay (MathWorks)</t>
  </si>
  <si>
    <t xml:space="preserve">    Q4 stakeholder bonus (MW lump, doubled)</t>
  </si>
  <si>
    <t xml:space="preserve">    Interest earned</t>
  </si>
  <si>
    <t xml:space="preserve">    FSA Dep Care reimbursement (lump from Wex)</t>
  </si>
  <si>
    <t xml:space="preserve">    Tuition reimbursement (MathWorks)</t>
  </si>
  <si>
    <t xml:space="preserve">    Tax refunds (Federal/MA)</t>
  </si>
  <si>
    <t xml:space="preserve">    CC rewards / Misc refunds / Side income</t>
  </si>
  <si>
    <t>Total Income</t>
  </si>
  <si>
    <t>FIXED EXPENSES</t>
  </si>
  <si>
    <t xml:space="preserve">    Mortgage (Rocket biweekly avg)</t>
  </si>
  <si>
    <t xml:space="preserve">    Car — 2023 Sienna loan (BoA)</t>
  </si>
  <si>
    <t xml:space="preserve">    Car — 2022 RAV4 loan (Toyota)</t>
  </si>
  <si>
    <t xml:space="preserve">    Childcare (checks)</t>
  </si>
  <si>
    <t xml:space="preserve">    Tuition (Northeastern)</t>
  </si>
  <si>
    <t xml:space="preserve">    Life insurance — American General</t>
  </si>
  <si>
    <t xml:space="preserve">    Life insurance — ALIC</t>
  </si>
  <si>
    <t xml:space="preserve">    Verizon</t>
  </si>
  <si>
    <t xml:space="preserve">    T-Mobile</t>
  </si>
  <si>
    <t xml:space="preserve">    Schwab investment (529)</t>
  </si>
  <si>
    <t xml:space="preserve">    Fidelity investment ($50/mo)</t>
  </si>
  <si>
    <t>Total Fixed Expenses</t>
  </si>
  <si>
    <t>UTILITIES (Gas/Electric Currently Lumped)</t>
  </si>
  <si>
    <t xml:space="preserve">    Gas bill</t>
  </si>
  <si>
    <t xml:space="preserve">    Electric (Eversource — pre-solar)</t>
  </si>
  <si>
    <t xml:space="preserve">    Water</t>
  </si>
  <si>
    <t>Total Utilities</t>
  </si>
  <si>
    <t>VARIABLE SPENDING (auto-pulled from CC Detail)</t>
  </si>
  <si>
    <t xml:space="preserve">    Groceries</t>
  </si>
  <si>
    <t xml:space="preserve">    Gas / Vehicle</t>
  </si>
  <si>
    <t xml:space="preserve">    Dining out</t>
  </si>
  <si>
    <t xml:space="preserve">    Subscriptions</t>
  </si>
  <si>
    <t xml:space="preserve">    Kids / Activities</t>
  </si>
  <si>
    <t xml:space="preserve">    Travel</t>
  </si>
  <si>
    <t xml:space="preserve">    Personal Care</t>
  </si>
  <si>
    <t xml:space="preserve">    Pharmacy / Health</t>
  </si>
  <si>
    <t xml:space="preserve">    Home / Hardware</t>
  </si>
  <si>
    <t xml:space="preserve">    Amazon (misc)</t>
  </si>
  <si>
    <t xml:space="preserve">    Landscaping</t>
  </si>
  <si>
    <t xml:space="preserve">    Cash / allowances</t>
  </si>
  <si>
    <t xml:space="preserve">    Other / misc</t>
  </si>
  <si>
    <t>Total Variable Spending</t>
  </si>
  <si>
    <t>ONE-TIME / LARGE ITEMS</t>
  </si>
  <si>
    <t xml:space="preserve">    Solar install (capital — see Solar tab)</t>
  </si>
  <si>
    <t xml:space="preserve">    Federal taxes owed (April)</t>
  </si>
  <si>
    <t xml:space="preserve">    TurboTax / tax prep</t>
  </si>
  <si>
    <t xml:space="preserve">    Other large item</t>
  </si>
  <si>
    <t>Total One-Time</t>
  </si>
  <si>
    <t>TOTAL EXPENSES</t>
  </si>
  <si>
    <t>NET CASH FLOW (Income − Expenses)</t>
  </si>
  <si>
    <t>RECONCILIATION</t>
  </si>
  <si>
    <t xml:space="preserve">    Checking — beginning balance</t>
  </si>
  <si>
    <t xml:space="preserve">    Predicted ending = beg + net cash flow</t>
  </si>
  <si>
    <t xml:space="preserve">    Actual ending checking balance</t>
  </si>
  <si>
    <t xml:space="preserve">    Variance (actual − predicted)</t>
  </si>
  <si>
    <t>Variable Spending — by category (auto-populated)</t>
  </si>
  <si>
    <t>Auto-regenerated by Apps Script. Edit Rules tab to change categorization rather than typing here directly.</t>
  </si>
  <si>
    <t>YTD</t>
  </si>
  <si>
    <t>Groceries</t>
  </si>
  <si>
    <t>Gas / Vehicle</t>
  </si>
  <si>
    <t>Dining out</t>
  </si>
  <si>
    <t>Subscriptions</t>
  </si>
  <si>
    <t>Kids / Activities</t>
  </si>
  <si>
    <t>Travel</t>
  </si>
  <si>
    <t>Personal Care</t>
  </si>
  <si>
    <t>Pharmacy / Health</t>
  </si>
  <si>
    <t>Home / Hardware</t>
  </si>
  <si>
    <t>Amazon (misc)</t>
  </si>
  <si>
    <t>Landscaping</t>
  </si>
  <si>
    <t>Cash / allowances</t>
  </si>
  <si>
    <t>Other / misc</t>
  </si>
  <si>
    <t>Total variable spending</t>
  </si>
  <si>
    <t>Barclaycard statement total (manual — sanity)</t>
  </si>
  <si>
    <t>(Categorized − Statement) — should be ~0</t>
  </si>
  <si>
    <t>Solar Panel ROI Tracker</t>
  </si>
  <si>
    <t>Capital costs in row 5. Net meter goes live: track baseline (what you would have paid) vs. actual (with solar).</t>
  </si>
  <si>
    <t>Item</t>
  </si>
  <si>
    <t>Capital outlay</t>
  </si>
  <si>
    <t>Tax credits / incentives</t>
  </si>
  <si>
    <t>Net capital cost</t>
  </si>
  <si>
    <t>Baseline electric (estimate)</t>
  </si>
  <si>
    <t>Actual electric bill</t>
  </si>
  <si>
    <t>Monthly savings</t>
  </si>
  <si>
    <t>Cumulative savings</t>
  </si>
  <si>
    <t>Payback summary</t>
  </si>
  <si>
    <t xml:space="preserve">    Net capital cost</t>
  </si>
  <si>
    <t xml:space="preserve">    Avg monthly savings</t>
  </si>
  <si>
    <t xml:space="preserve">    Projected annual savings</t>
  </si>
  <si>
    <t xml:space="preserve">    Payback period (years)</t>
  </si>
  <si>
    <t xml:space="preserve">    % paid back</t>
  </si>
  <si>
    <t>⚠ Incentives (row 6): the 30% federal solar credit (25D) ended for systems placed in service after 12/31/2025 (OBBB, 7/4/2025); yours went live ~Apr 2026, so federal = $0. MA still gives a 15% state credit up to $1,000. Full reinvestment model on the 'Solar Reinvestment' tab →</t>
  </si>
  <si>
    <t>Real data entered for the first clean post-solar months (Jun–Aug): baseline = 2025 same-month bills, actual = 2026 bills → saved ~$56 / $102 / $187. 2026 winter bills spiked on rates &amp; cold, so earlier months aren't a clean solar comparison — add post-solar winter data (Nov 2026+) for a full-year payback.</t>
  </si>
  <si>
    <t>Account Balances — month-end snapshots</t>
  </si>
  <si>
    <t>Snapshot at end of each month.</t>
  </si>
  <si>
    <t>Account</t>
  </si>
  <si>
    <t>Capital One Checking (7912)</t>
  </si>
  <si>
    <t>Capital One Savings (8940)</t>
  </si>
  <si>
    <t>Capital One Venmo float (9345)</t>
  </si>
  <si>
    <t>Fidelity Money Market</t>
  </si>
  <si>
    <t>Schwab investment</t>
  </si>
  <si>
    <t>529</t>
  </si>
  <si>
    <t>FSA Dep Care balance</t>
  </si>
  <si>
    <t>FSA Health Care balance</t>
  </si>
  <si>
    <t>Matt 401k (MathWorks)</t>
  </si>
  <si>
    <t>Sue 403b (Equitable)</t>
  </si>
  <si>
    <t>Sue pension (estimated)</t>
  </si>
  <si>
    <t>Other</t>
  </si>
  <si>
    <t>Total assets</t>
  </si>
  <si>
    <t>MoM change (assets)</t>
  </si>
  <si>
    <t>Compensation &amp; Benefits Tracking</t>
  </si>
  <si>
    <t>Track YTD progress on retirement contributions, FSA, employer match. Update from paystubs (or from Workday/MathWorks portal monthly).</t>
  </si>
  <si>
    <t>MATT (MathWorks)</t>
  </si>
  <si>
    <t>Per pay period</t>
  </si>
  <si>
    <t>Annual cap (2026)</t>
  </si>
  <si>
    <t>% used</t>
  </si>
  <si>
    <t>Notes</t>
  </si>
  <si>
    <t>Gross earnings</t>
  </si>
  <si>
    <t>Hourly + OT + Stakeholder + Reimbursements YTD</t>
  </si>
  <si>
    <t>Contribution rate %</t>
  </si>
  <si>
    <t>50% cap</t>
  </si>
  <si>
    <t>Auto-increases 1%/yr on May 1 up to 50% cap</t>
  </si>
  <si>
    <t>401k contribution (target)</t>
  </si>
  <si>
    <t>22% of ~$144k = ~$31,800 intended; PLAN AUTO-CAPS at $23,500. Maxes out by ~Sep.</t>
  </si>
  <si>
    <t>401k match (3% baseline, throughout)</t>
  </si>
  <si>
    <t>MW matches first 3% of pay; calculated as 3% of $144,612</t>
  </si>
  <si>
    <t>401k match Q4 true-up (3% lump)</t>
  </si>
  <si>
    <t>MW typically doubles to 6% at year-end (lump in 401k acct, NOT cash)</t>
  </si>
  <si>
    <t>FSA Dep Care</t>
  </si>
  <si>
    <t>Reimbursed when receipts submitted</t>
  </si>
  <si>
    <t>FSA Health Care</t>
  </si>
  <si>
    <t>2026 limit; reimbursed for medical expenses</t>
  </si>
  <si>
    <t>Tuition reimbursement (received)</t>
  </si>
  <si>
    <t>IRC §127 tax-free up to $5,250/yr</t>
  </si>
  <si>
    <t>Stakeholder Earnings YTD</t>
  </si>
  <si>
    <t>Doubled in Q4 — track when received</t>
  </si>
  <si>
    <t>Q4 stakeholder bonus</t>
  </si>
  <si>
    <t>Lump sum, hits checking separately</t>
  </si>
  <si>
    <t>SUE (Sharon Public Schools)</t>
  </si>
  <si>
    <t>MA pension contribution</t>
  </si>
  <si>
    <t>Mandatory deduction; not in retirement portfolio</t>
  </si>
  <si>
    <t>403b contribution (Equitable)</t>
  </si>
  <si>
    <t>0</t>
  </si>
  <si>
    <t>STOPPED — high fees; consider restart + annual rollover to Fidelity</t>
  </si>
  <si>
    <t>403b match</t>
  </si>
  <si>
    <t>Verify if district matches — depends on contract</t>
  </si>
  <si>
    <t>Total retirement %</t>
  </si>
  <si>
    <t>Track total Sue retirement savings rate including pension</t>
  </si>
  <si>
    <t>529 (kids college)</t>
  </si>
  <si>
    <t>Per month</t>
  </si>
  <si>
    <t>MA tax deduction cap</t>
  </si>
  <si>
    <t>529 contributions</t>
  </si>
  <si>
    <t>MA deducts up to $2k joint (~$100/yr tax savings)</t>
  </si>
  <si>
    <t>Financial Scenarios — what-if analysis</t>
  </si>
  <si>
    <t>Orange cells = inputs you can change. Other cells calculate automatically. Models 20-year horizon with simplified assumptions — not investment advice.</t>
  </si>
  <si>
    <t>ASSUMPTIONS</t>
  </si>
  <si>
    <t>Expected investment return (annual)</t>
  </si>
  <si>
    <t>Stock/bond mix typical for retirement timeline</t>
  </si>
  <si>
    <t>Time horizon (years)</t>
  </si>
  <si>
    <t>MA marginal tax rate</t>
  </si>
  <si>
    <t>Federal marginal tax rate</t>
  </si>
  <si>
    <t>LOANS</t>
  </si>
  <si>
    <t>Loan</t>
  </si>
  <si>
    <t>Balance</t>
  </si>
  <si>
    <t>Rate</t>
  </si>
  <si>
    <t>Monthly pmt</t>
  </si>
  <si>
    <t>Months left</t>
  </si>
  <si>
    <t>Interest remaining</t>
  </si>
  <si>
    <t>RAV4 (Toyota)</t>
  </si>
  <si>
    <t>Sienna (BoA)</t>
  </si>
  <si>
    <t>Mortgage (Rocket)</t>
  </si>
  <si>
    <t>SCENARIOS — projected outcomes over horizon</t>
  </si>
  <si>
    <t>Action</t>
  </si>
  <si>
    <t>Status quo</t>
  </si>
  <si>
    <t>Restart Sue 403b at $300/mo</t>
  </si>
  <si>
    <t>Pay off RAV4 → backdoor Roth IRAs ($7k×2)</t>
  </si>
  <si>
    <t>Pay off RAV4 + restart Sue 403b</t>
  </si>
  <si>
    <t>Aggressive: all above + boost 529 to $300/mo</t>
  </si>
  <si>
    <t>Monthly cash impact (vs status quo)</t>
  </si>
  <si>
    <t>New annual investment contributions</t>
  </si>
  <si>
    <t>Annual tax savings (federal+state)</t>
  </si>
  <si>
    <t>Loan interest saved (one-time)</t>
  </si>
  <si>
    <t>Investment growth over horizon</t>
  </si>
  <si>
    <t>TOTAL benefit (FV + interest saved + tax savings × horizon)</t>
  </si>
  <si>
    <t>Charts (auto-generated)</t>
  </si>
  <si>
    <t>Run: 📊 Family Finances → Generate / Refresh Charts. The Apps Script creates 4 charts on this tab from the data in Income Statement, CC Detail, Solar ROI, and Balances tabs.</t>
  </si>
  <si>
    <t>Cash Flow Summary (auto)</t>
  </si>
  <si>
    <t>Month</t>
  </si>
  <si>
    <t>Total Expenses</t>
  </si>
  <si>
    <t>Net Cash Flow</t>
  </si>
  <si>
    <t>Solar Cumulative Savings vs. Capital</t>
  </si>
  <si>
    <t>Net capital cost (reference)</t>
  </si>
  <si>
    <t>Total Assets Trend</t>
  </si>
  <si>
    <t>Imports — Checking</t>
  </si>
  <si>
    <t>Paste Capital One Checking CSV here (full YTD recommended). Run: 📊 Family Finances → Categorize &amp; Roll Up.</t>
  </si>
  <si>
    <t>Account Number</t>
  </si>
  <si>
    <t>Transaction Description</t>
  </si>
  <si>
    <t>Transaction Date</t>
  </si>
  <si>
    <t>Transaction Type</t>
  </si>
  <si>
    <t>Transaction Amount</t>
  </si>
  <si>
    <t>→ Category (auto)</t>
  </si>
  <si>
    <t>Imports — Savings</t>
  </si>
  <si>
    <t>Paste Capital One Savings CSV here.</t>
  </si>
  <si>
    <t>Imports — Barclay</t>
  </si>
  <si>
    <t>Paste Barclaycard CSV (skip header rows above 'Transaction Date').</t>
  </si>
  <si>
    <t>Description</t>
  </si>
  <si>
    <t>Amount</t>
  </si>
  <si>
    <t>Card Last 4 Digits</t>
  </si>
  <si>
    <t>Purchased by</t>
  </si>
  <si>
    <t>Categorization Rules</t>
  </si>
  <si>
    <t>Edit to change merchant categorization. First match wins (top down).</t>
  </si>
  <si>
    <t>Pattern (regex)</t>
  </si>
  <si>
    <t>Withdrawal to 360 Performance Savings</t>
  </si>
  <si>
    <t>__TRANSFER__</t>
  </si>
  <si>
    <t>Move $ to savings</t>
  </si>
  <si>
    <t>Deposit from 360 Performance Savings</t>
  </si>
  <si>
    <t>Move $ from savings</t>
  </si>
  <si>
    <t>Withdrawal to 360 Checking</t>
  </si>
  <si>
    <t>Savings → Checking</t>
  </si>
  <si>
    <t>Deposit from 360 Checking</t>
  </si>
  <si>
    <t>Checking → Savings</t>
  </si>
  <si>
    <t>BARCLAYCARD US CREDITCARD</t>
  </si>
  <si>
    <t>Pay Barclaycard bill</t>
  </si>
  <si>
    <t>TARGET CARD SRVC PAYMENT</t>
  </si>
  <si>
    <t>Pay Target card bill</t>
  </si>
  <si>
    <t>^Payment Received$</t>
  </si>
  <si>
    <t>Barclaycard side of CC payment</t>
  </si>
  <si>
    <t>MATHWORKS INC PAYROLL</t>
  </si>
  <si>
    <t>__INCOME__:Matt</t>
  </si>
  <si>
    <t>Matt's paycheck</t>
  </si>
  <si>
    <t>TOWN OF SHARON PAYROLL</t>
  </si>
  <si>
    <t>__INCOME__:Sue</t>
  </si>
  <si>
    <t>Sue's paycheck</t>
  </si>
  <si>
    <t>COMM\. OF MASS\. MASTTAXRFD</t>
  </si>
  <si>
    <t>__INCOME__:Tax refunds</t>
  </si>
  <si>
    <t>MA tax refund</t>
  </si>
  <si>
    <t>Monthly Interest Paid</t>
  </si>
  <si>
    <t>__INCOME__:Interest</t>
  </si>
  <si>
    <t>Bank interest</t>
  </si>
  <si>
    <t>Simple Earn Stmt Credit</t>
  </si>
  <si>
    <t>__INCOME__:CC rewards</t>
  </si>
  <si>
    <t>Barclaycard rewards</t>
  </si>
  <si>
    <t>TRAVEL CREDIT</t>
  </si>
  <si>
    <t>Travel statement credit</t>
  </si>
  <si>
    <t>MastercardTransitOffer</t>
  </si>
  <si>
    <t>Transit promo</t>
  </si>
  <si>
    <t>AMAZON MKTPLACE PMTS</t>
  </si>
  <si>
    <t>__INCOME__:Misc refunds</t>
  </si>
  <si>
    <t>Amazon refund</t>
  </si>
  <si>
    <t>ROCKET MORTGAGE</t>
  </si>
  <si>
    <t>__FIXED__:Mortgage</t>
  </si>
  <si>
    <t>Biweekly mortgage</t>
  </si>
  <si>
    <t>AMERICAN GEN LIF INS</t>
  </si>
  <si>
    <t>__FIXED__:Life ins (AmGen)</t>
  </si>
  <si>
    <t>ALIC INS PREM</t>
  </si>
  <si>
    <t>__FIXED__:Life ins (ALIC)</t>
  </si>
  <si>
    <t>TOYOTA ACH</t>
  </si>
  <si>
    <t>__FIXED__:Car (RAV4)</t>
  </si>
  <si>
    <t>RAV4 loan</t>
  </si>
  <si>
    <t>BANK OF AMERICA ONLINE PMT</t>
  </si>
  <si>
    <t>__FIXED__:Car (Sienna)</t>
  </si>
  <si>
    <t>Sienna auto loan</t>
  </si>
  <si>
    <t>VERIZON</t>
  </si>
  <si>
    <t>__FIXED__:Verizon</t>
  </si>
  <si>
    <t>Internet</t>
  </si>
  <si>
    <t>TMOBILE</t>
  </si>
  <si>
    <t>__FIXED__:T-Mobile</t>
  </si>
  <si>
    <t>Cell Phone</t>
  </si>
  <si>
    <t>EVERSOURCE</t>
  </si>
  <si>
    <t>__FIXED__:Electric</t>
  </si>
  <si>
    <t>SCHWAB ADV</t>
  </si>
  <si>
    <t>__FIXED__:Schwab investment</t>
  </si>
  <si>
    <t>FID BKG SVC</t>
  </si>
  <si>
    <t>__FIXED__:Fidelity investment</t>
  </si>
  <si>
    <t>NORTHEASTERN UNI</t>
  </si>
  <si>
    <t>__FIXED__:Tuition</t>
  </si>
  <si>
    <t>Check #</t>
  </si>
  <si>
    <t>__FIXED__:Childcare</t>
  </si>
  <si>
    <t>Most checks are childcare</t>
  </si>
  <si>
    <t>ALDI|TRADER JOE|BIG Y|STOP &amp; SHOP|SHAWS|COSTCO WHSE|FARMER IN THE DELL|WARDS BERRY|FLANNEL COW|BUBBLING BROOK|WARD'S BERRY FARM</t>
  </si>
  <si>
    <t>COSTCO GAS|CUMBERLAND FARMS|SHELL OIL|EXXON|BJ.*FUEL|SUNOCO|ROJO CAR WASH|E-ZPASS|GULF OIL 92062891</t>
  </si>
  <si>
    <t>NETFLIX|PARAMOUNT|PEACOCK|NYTIMES|SPOTIFY|PATREON|MISSIONLOCAL|APPLE\.COM/BILL|Groupon|KIRO PRO</t>
  </si>
  <si>
    <t>WALPOLE YOUTH|RBI BASEBALL|HOCKOMOCK|PATRIOT FLAG|UNIVERSAL POWER|WALPOLE RECREA|NCAHS|OUTSIDERS MERCHAND|KOHR GOLF|FORE KICKS|SASSAMON TRACE|TOWNECRAFTERS|SP PARK STREET BOOKS</t>
  </si>
  <si>
    <t>COURTYARD|MARRIOTT|SPOTHERO|CAPITOL EXPRESS|SMITH STORE|WIEHLE-RESTON|MR ICEO|PULSEWORKS|BINBOX|^METRO|MULTIPURE|DEERFIELD|LEVY@2NATIONAL|UBER *TRIP</t>
  </si>
  <si>
    <t>DYNASTY BARBER|YOO NAILS|VIONIC SHOES|J CREW|NORDSTROM|On Sportswear|POSHMARK|SECOND GLANCE|FRANCISCO SILVA - HAIR|GREAT HAND REFLEXOLOGY</t>
  </si>
  <si>
    <t>WALGREENS|CVS|PETCO|MUFFIN HOUSE|MUFFIN</t>
  </si>
  <si>
    <t>HOME DEPOT|ROCKY.*HARDWARE|DOLLARTREE|HOBBY LOBBY|FIVE BELOW|WALMART|VEVOR|WOODCRAFT 335</t>
  </si>
  <si>
    <t>SULLIVAN LANDSCAPE</t>
  </si>
  <si>
    <t>OPC\*US TREASURY|Intuit Inc</t>
  </si>
  <si>
    <t>__FIXED__:Federal taxes</t>
  </si>
  <si>
    <t>Annual tax payment</t>
  </si>
  <si>
    <t>TST\*|DD \*|SQ \*|TACO BELL|MCDONALD|WENDY|CHIPOTLE|DUNKIN|STARBUCKS|CAFE FRESH|PIZZERIA|ELEPHANT|MENCHIES|TESSIES|ANGELS CAFE|GINJO|SLICE\*|MONAHANS|RUSTIC GARDEN|RIBPUBLIC|CITIZEN CRUST|TACO AZUL|PHOBAMI|CHUCK E CHEESE|ESTELLA|EAGLE BROOK|PENANG|BEE SUITE|7-ELEVEN|BOSTON OPERA|YANKEE SPIRITS|TOTAL WINE|LS NORFOLK|CONVENIENCE FOOD|PANERA BREAD #203901 O</t>
  </si>
  <si>
    <t>AMZN|AMAZON</t>
  </si>
  <si>
    <t>Catch-all Amazon → reconcile on 'Amazon Reconciliation' tab</t>
  </si>
  <si>
    <t>ATM Withdrawal</t>
  </si>
  <si>
    <t>Sue — MTRS Pension Calculator (Massachusetts Teachers' Retirement System)</t>
  </si>
  <si>
    <t>Membership Tier 1 confirmed — both 2003 and 2010 predate the 4/2/2012 Tier 2 cutoff. YELLOW = confirm in MyTRS  •  ORANGE = scenario inputs  •  Not affiliated with MTRS; verify against the official MTRS estimator before relying on any figure.</t>
  </si>
  <si>
    <t>① CONFIRM IN MyTRS  (mtrs.state.ma.us)</t>
  </si>
  <si>
    <t>Effective membership date (year)</t>
  </si>
  <si>
    <t>Confirmed 2010 (refund taken on 2003–07 service, rejoined 2010). Post-2001 join → Tier 1, mandatory R+.</t>
  </si>
  <si>
    <t>Current creditable service (yrs, today)</t>
  </si>
  <si>
    <t>~16 years (2010 → 2026, continuous). Confirm the exact figure in MyTRS.</t>
  </si>
  <si>
    <t>RetirementPlus participant? (Y/N)</t>
  </si>
  <si>
    <t>Y</t>
  </si>
  <si>
    <t>Auto-YES: joined post-7/1/2001 → mandatory R+ at 11%. A flat 11% on her paystub confirms it.</t>
  </si>
  <si>
    <t>Years as MTRS teacher (R+ 20-yr test)</t>
  </si>
  <si>
    <t>Almost all her creditable service is teacher service; used only for the R+ 20-year test.</t>
  </si>
  <si>
    <t>② SCENARIO INPUTS</t>
  </si>
  <si>
    <t>Sue's current age</t>
  </si>
  <si>
    <t>Current calendar year</t>
  </si>
  <si>
    <t>Current annual salary ($)</t>
  </si>
  <si>
    <t>Enter Sue's actual salary.</t>
  </si>
  <si>
    <t>Expected annual raise (%)</t>
  </si>
  <si>
    <t>Planned retirement age (scenario)</t>
  </si>
  <si>
    <t>Buy-back: early years to restore</t>
  </si>
  <si>
    <t>If she refunded 2003–07, she can repay to restore ~4–5 yrs. Try 4 to see the effect.</t>
  </si>
  <si>
    <t>③ TIER 1 RULES  (reference — do not edit)</t>
  </si>
  <si>
    <t>Age</t>
  </si>
  <si>
    <t>Factor</t>
  </si>
  <si>
    <t>Membership tier</t>
  </si>
  <si>
    <t>Tier 1</t>
  </si>
  <si>
    <t>Salary average period</t>
  </si>
  <si>
    <t>Highest 3 yrs</t>
  </si>
  <si>
    <t>Maximum benefit cap</t>
  </si>
  <si>
    <t>R+ enhancement</t>
  </si>
  <si>
    <t>+2%/yr over 24 yrs</t>
  </si>
  <si>
    <t>Requires ≥30 yrs creditable, ≥20 as teacher, 11% for 5+ yrs.</t>
  </si>
  <si>
    <t>Min retirement age (Tier 1)</t>
  </si>
  <si>
    <t>④ RESULT AT PLANNED RETIREMENT AGE</t>
  </si>
  <si>
    <t>Creditable service at retirement</t>
  </si>
  <si>
    <t>Age factor at retirement</t>
  </si>
  <si>
    <t>Salary average (3-yr, est.) $</t>
  </si>
  <si>
    <t>Regular formula benefit %</t>
  </si>
  <si>
    <t>R+ eligible?</t>
  </si>
  <si>
    <t>R+ formula benefit %</t>
  </si>
  <si>
    <t>Applied benefit %</t>
  </si>
  <si>
    <t>ANNUAL PENSION ($)</t>
  </si>
  <si>
    <t>Monthly pension ($)</t>
  </si>
  <si>
    <t>⑤ PROJECTION BY RETIREMENT AGE  (finds the earliest 80% cap)</t>
  </si>
  <si>
    <t>Retire age</t>
  </si>
  <si>
    <t>Year</t>
  </si>
  <si>
    <t>Cred. svc</t>
  </si>
  <si>
    <t>Age factor</t>
  </si>
  <si>
    <t>Regular %</t>
  </si>
  <si>
    <t>R+ elig?</t>
  </si>
  <si>
    <t>R+ %</t>
  </si>
  <si>
    <t>Applied %</t>
  </si>
  <si>
    <t>Annual pension $</t>
  </si>
  <si>
    <t>80% cap?</t>
  </si>
  <si>
    <t>Earliest age at 80% cap:</t>
  </si>
  <si>
    <t>…in calendar year:</t>
  </si>
  <si>
    <t>Note: salary average is a simple projection (current salary grown by the raise rate, averaged over the final 3 years). MTRS uses actual highest-3-consecutive-year earnings. R+ enhanced benefit only applies once she reaches 30 creditable years; otherwise the regular formula applies and R+ contributions are refunded.</t>
  </si>
  <si>
    <t>FIRE Dashboard — Naughton Family</t>
  </si>
  <si>
    <t>Educational planning tool, not investment advice. ORANGE = assumptions you set  •  YELLOW = balances/contributions (snapshot as of now — update over time). FI math uses a REAL (inflation-adjusted) return.</t>
  </si>
  <si>
    <t>① HOUSEHOLD ASSUMPTIONS</t>
  </si>
  <si>
    <t>Matt's current age</t>
  </si>
  <si>
    <t>Target annual retirement spend ($)</t>
  </si>
  <si>
    <t>Use your Income Statement expenses as a guide.</t>
  </si>
  <si>
    <t>Safe withdrawal rate (SWR)</t>
  </si>
  <si>
    <t>Nominal expected return</t>
  </si>
  <si>
    <t>Matches the 7% on your Scenarios tab.</t>
  </si>
  <si>
    <t>Assumed inflation</t>
  </si>
  <si>
    <t>Real return (auto)</t>
  </si>
  <si>
    <t>② CURRENT INVESTED ASSETS  (from Balances)</t>
  </si>
  <si>
    <t>IRAs (Matt + Sue)</t>
  </si>
  <si>
    <t>HSA (invested portion)</t>
  </si>
  <si>
    <t>Taxable brokerage (Schwab)</t>
  </si>
  <si>
    <t>Cash earmarked for FI</t>
  </si>
  <si>
    <t>Exclude your emergency fund.</t>
  </si>
  <si>
    <t>TOTAL INVESTED</t>
  </si>
  <si>
    <t>(memo) 529 — excluded from FI</t>
  </si>
  <si>
    <t>Kids' college — not part of your FI number.</t>
  </si>
  <si>
    <t>③ ANNUAL CONTRIBUTIONS</t>
  </si>
  <si>
    <t>Matt 401k (employee)</t>
  </si>
  <si>
    <t>Employer 401k match</t>
  </si>
  <si>
    <t>Sue 403b</t>
  </si>
  <si>
    <t>HSA</t>
  </si>
  <si>
    <t>2027 family HSA limit.</t>
  </si>
  <si>
    <t>IRAs (both)</t>
  </si>
  <si>
    <t>Taxable brokerage</t>
  </si>
  <si>
    <t>TOTAL ANNUAL INVESTED</t>
  </si>
  <si>
    <t>④ SAVINGS RATE</t>
  </si>
  <si>
    <t>Gross household income ($)</t>
  </si>
  <si>
    <t>Matt (~$144k) + Sue's salary.</t>
  </si>
  <si>
    <t>Savings rate</t>
  </si>
  <si>
    <t>⑤ FI NUMBER  (with &amp; without the pension)</t>
  </si>
  <si>
    <t>Gross FI number (spend ÷ SWR)</t>
  </si>
  <si>
    <t>Portfolio-only target, today's dollars — the conservative number to aim at.</t>
  </si>
  <si>
    <t>Sue's annual pension (from Pension tab)</t>
  </si>
  <si>
    <t>Future nominal $ (grown to her retirement) — treat the offset below as approximate.</t>
  </si>
  <si>
    <t>Social Security household (annual, est)</t>
  </si>
  <si>
    <t>WEP/GPO repealed (2025) — Sue keeps full spousal/survivor SS. Verify her record.</t>
  </si>
  <si>
    <t>Income floor (pension + SS)</t>
  </si>
  <si>
    <t>Pension+SS capitalized value</t>
  </si>
  <si>
    <t>Roughly what that income floor is 'worth' vs a portfolio — it reduces the target below.</t>
  </si>
  <si>
    <t>NET FI number (target once floor starts)</t>
  </si>
  <si>
    <t>$0 means pension+SS alone cover target spend in the traditional-retirement phase.</t>
  </si>
  <si>
    <t>⑥ YEARS TO FI  (portfolio-only runway)</t>
  </si>
  <si>
    <t>Years to reach GROSS FI number</t>
  </si>
  <si>
    <t>Current invested + annual contributions growing at the real return. Pension+SS shorten this once they begin (see ⑤).</t>
  </si>
  <si>
    <t>Matt's age at FI</t>
  </si>
  <si>
    <t>FI calendar year</t>
  </si>
  <si>
    <t>⑦ PRE-59½ BRIDGE  (early-access runway)</t>
  </si>
  <si>
    <t>Planned early-retire age (Matt)</t>
  </si>
  <si>
    <t>Roth IRA contributions (accessible)</t>
  </si>
  <si>
    <t>HSA receipt shoebox (accessible)</t>
  </si>
  <si>
    <t>Total accessible before 59½</t>
  </si>
  <si>
    <t>Years until 59½</t>
  </si>
  <si>
    <t>Annual spend uncovered in bridge ($)</t>
  </si>
  <si>
    <t>If Sue is still teaching, subtract her take-home — the gap may be small or zero.</t>
  </si>
  <si>
    <t>Bridge need</t>
  </si>
  <si>
    <t>Bridge surplus / (gap)</t>
  </si>
  <si>
    <t>⑧ TWO-PHASE PLAN</t>
  </si>
  <si>
    <t>Phase 1 — Matt steps back first</t>
  </si>
  <si>
    <t>Sue keeps teaching: her salary + retiree-eligible health coverage bridge the household, so the portfolio keeps compounding and the pre-59½ gap above stays small.</t>
  </si>
  <si>
    <t>Phase 2 — Sue reaches her 80% pension cap</t>
  </si>
  <si>
    <t>Amazon — Monthly Reconciliation</t>
  </si>
  <si>
    <t>All Amazon spend now lands in ONE bucket — 'Amazon (misc)', CC Detail row 14 — via a single regex rule (AMZN|AMAZON). Each month, split that total into real categories below. ORANGE = you enter $. The reference list at the bottom shows the actual Amazon transactions to guide the split.</t>
  </si>
  <si>
    <t>① AMAZON TOTAL TO RECONCILE  (auto — from CC Detail)</t>
  </si>
  <si>
    <t>Amazon (misc) — to reconcile</t>
  </si>
  <si>
    <t>② ALLOCATE INTO CATEGORIES  (enter $ per month)</t>
  </si>
  <si>
    <t>Subscriptions (Prime/Kindle/Audible)</t>
  </si>
  <si>
    <t>Other / gifts</t>
  </si>
  <si>
    <t>Allocated total</t>
  </si>
  <si>
    <t>Unallocated remaining</t>
  </si>
  <si>
    <t>③ RECONCILED CATEGORY TOTALS (YTD) — the un-muddied picture</t>
  </si>
  <si>
    <t>Native (CC Detail)</t>
  </si>
  <si>
    <t>+ Amazon</t>
  </si>
  <si>
    <t>Note: once split, these 'true totals' show real spend per category — Amazon no longer hides hardware, hygiene, and kids' purchases in one lump. Feed these into the guardrail when it's built.</t>
  </si>
  <si>
    <t>④ REFERENCE — current Amazon transactions  (auto, read-only)</t>
  </si>
  <si>
    <t>Pulls Amazon rows from your Barclay import so you can see what to split. Refreshes when you paste new data.</t>
  </si>
  <si>
    <t>Date</t>
  </si>
  <si>
    <t>Solar — Reinvestment &amp; Effective ROI</t>
  </si>
  <si>
    <t>Goal: redirect your former electric-bill spend into a growth vehicle so the solar's ROI compounds. ORANGE = inputs. Enphase has no CSV export, so enter the monthly energy log by hand (you can backfill Mar–Sep now, then add one row per month). Educational planning, not investment/tax advice.</t>
  </si>
  <si>
    <t>① INCENTIVES &amp; NET CAPITAL COST</t>
  </si>
  <si>
    <t>Gross capital outlay</t>
  </si>
  <si>
    <t>Federal ITC (25D)</t>
  </si>
  <si>
    <t>$0 if placed in service in 2026 (OBBB ended 25D after 12/31/2025). If PTO by 12/31/2025, use ~0.30×gross.</t>
  </si>
  <si>
    <t>MA state credit (15%, max $1,000)</t>
  </si>
  <si>
    <t>Other rebates / utility</t>
  </si>
  <si>
    <t>NET CAPITAL COST</t>
  </si>
  <si>
    <t>② MONTHLY ENERGY LOG  (Enphase — manual entry, kWh)</t>
  </si>
  <si>
    <t>Enter each month from your Enphase report. Net export = Exported − Imported (auto).</t>
  </si>
  <si>
    <t>Produced</t>
  </si>
  <si>
    <t>Consumed</t>
  </si>
  <si>
    <t>Imported</t>
  </si>
  <si>
    <t>Exported</t>
  </si>
  <si>
    <t>Net export</t>
  </si>
  <si>
    <t>Total</t>
  </si>
  <si>
    <t>Enter each month from your Enphase monthly report (no CSV export — read the tile values). Production swings seasonally: March is pre-filled from your report (133 kWh produced vs 661 consumed → net import), while summer months over-produce and export. Net export = Exported − Imported (negative = net import).</t>
  </si>
  <si>
    <t>③ SAVINGS TO REINVEST</t>
  </si>
  <si>
    <t>Pre-solar baseline bill ($/mo)</t>
  </si>
  <si>
    <t>2025 average actual electric bill (real data: $1,988/yr ÷ 12).</t>
  </si>
  <si>
    <t>Post-solar actual bill ($/mo)</t>
  </si>
  <si>
    <t>Est. full-year post-solar avg (summer bills $87–122; winter eased by banked net-metering credits). Preliminary — refine after a full post-solar year.</t>
  </si>
  <si>
    <t>Monthly avoided cost (reinvest)</t>
  </si>
  <si>
    <t>Annual avoided cost</t>
  </si>
  <si>
    <t>SMART incentive ($/kWh)</t>
  </si>
  <si>
    <t>Est. annual production (kWh)</t>
  </si>
  <si>
    <t>Rough full-year estimate from your 2026 trajectory (YTD ~5 MWh by Aug). Refine after a full year.</t>
  </si>
  <si>
    <t>Annual SMART payment (yrs 1–10)</t>
  </si>
  <si>
    <t>Blended electric rate ($/kWh)</t>
  </si>
  <si>
    <t>Used to value net-metering credits from exports.</t>
  </si>
  <si>
    <t>④ REINVESTMENT MODEL — accelerate the ROI</t>
  </si>
  <si>
    <t>Reinvestment return (nominal)</t>
  </si>
  <si>
    <t>Electric rate escalation (%/yr)</t>
  </si>
  <si>
    <t>Horizon (years)</t>
  </si>
  <si>
    <t>First full year</t>
  </si>
  <si>
    <t>Calendar</t>
  </si>
  <si>
    <t>Avoided cost</t>
  </si>
  <si>
    <t>SMART</t>
  </si>
  <si>
    <t>Reinvested/yr</t>
  </si>
  <si>
    <t>Reinvested bal.</t>
  </si>
  <si>
    <t>Simple cum.</t>
  </si>
  <si>
    <t>Status</t>
  </si>
  <si>
    <t>Simple payback (year #):</t>
  </si>
  <si>
    <t>Accelerated payback (year #):</t>
  </si>
  <si>
    <t>Reinvested value at horizon:</t>
  </si>
  <si>
    <t>Net gain (value − net capital):</t>
  </si>
  <si>
    <t>Takeaway: 'Simple payback' is when avoided bills alone repay the system. 'Accelerated payback' is when those same dollars — invested at your return — repay it. The gap between them, and the horizon value above, is the compounding you unlock by reinvesting instead of just banking lower bills. Add the monthly avoided cost (B33) to the FIRE Dashboard contributions to fold it into your savings rate.</t>
  </si>
  <si>
    <t>HSA Election Planner — November open enrollment</t>
  </si>
  <si>
    <t>Turns your freed-up cash (solar + mobile + old FSA) into a concrete HSA election for the 2027 plan year. ORANGE = inputs. Educational planning, not tax advice.</t>
  </si>
  <si>
    <t>① 2027 HSA LIMIT</t>
  </si>
  <si>
    <t>Coverage type</t>
  </si>
  <si>
    <t>Family</t>
  </si>
  <si>
    <t>2027 HSA limit (family)</t>
  </si>
  <si>
    <t>Self-only 2027 = $4,500. Family = $9,000.</t>
  </si>
  <si>
    <t>Catch-up (age 55+, each)</t>
  </si>
  <si>
    <t>You're 45 — the +$1,000 each starts in 2036.</t>
  </si>
  <si>
    <t>Employer HSA seed/contribution</t>
  </si>
  <si>
    <t>If MathWorks seeds the HSA, it counts against the limit — enter it.</t>
  </si>
  <si>
    <t>Your max employee election</t>
  </si>
  <si>
    <t>Pay periods / year</t>
  </si>
  <si>
    <t>MathWorks is biweekly = 26.</t>
  </si>
  <si>
    <t>Max per paycheck</t>
  </si>
  <si>
    <t>② FREED-UP CASH TO REDIRECT  (annual)</t>
  </si>
  <si>
    <t>Solar avoided cost (from Solar tab)</t>
  </si>
  <si>
    <t>Mobile / phone savings</t>
  </si>
  <si>
    <t>From switching to the cheaper carrier.</t>
  </si>
  <si>
    <t>Former FSA Health Care contribution</t>
  </si>
  <si>
    <t>What you were putting in the FSA (~$96/pay × 26). This moves to the HSA.</t>
  </si>
  <si>
    <t>Other freed cash</t>
  </si>
  <si>
    <t>TOTAL new annual money</t>
  </si>
  <si>
    <t>③ ELECTION PLAN</t>
  </si>
  <si>
    <t>Suggested election (fund HSA from freed cash)</t>
  </si>
  <si>
    <t>Fund the more tax-efficient HSA first, up to the limit.</t>
  </si>
  <si>
    <t>Your chosen HSA election</t>
  </si>
  <si>
    <t>Override with the number you actually elect.</t>
  </si>
  <si>
    <t>→ Per paycheck</t>
  </si>
  <si>
    <t>→ % of family limit used</t>
  </si>
  <si>
    <t>Remaining freed cash → IRAs</t>
  </si>
  <si>
    <t>Extra needed to hit $9,000 max</t>
  </si>
  <si>
    <t>Shortfall between freed cash and a full max — pull from elsewhere if you want to top out.</t>
  </si>
  <si>
    <t>④ DECISION NOTES  (from our planning)</t>
  </si>
  <si>
    <t>• HSA is the most tax-efficient bucket (triple advantage + the payroll-tax break) — fund it first from freed cash, then overflow to IRAs.</t>
  </si>
  <si>
    <t>• Orthodontia: pay out of pocket, save every receipt, let the HSA stay invested and reimburse yourself later (the 'shoebox' growth play).</t>
  </si>
  <si>
    <t>• Open + fund the HSA (even $1) BEFORE the first ortho expense — expenses incurred before the account exists can never be reimbursed.</t>
  </si>
  <si>
    <t>• Confirm your 2026 FSA has no carryover/grace period bleeding into 2027 — it can block HSA eligibility early in the year. Consider a limited-purpose (dental/vision) FSA.</t>
  </si>
  <si>
    <t>• 2027 IRA limit isn't official yet (~$7,500 each expected); confirm in November before finalizing the IRA split.</t>
  </si>
  <si>
    <t>Monthly Entry — one place to update everything</t>
  </si>
  <si>
    <t>Pick the month, fill in what you have (blanks are skipped), then run 📊 Family Finances → Post Monthly Entry. Values fan out to Balances, Solar, Amazon Reconciliation and Comp &amp; Benefits. You can also fill this from your phone via the linked Google Form.</t>
  </si>
  <si>
    <t>Month to post</t>
  </si>
  <si>
    <t>Choose the month these figures belong to.</t>
  </si>
  <si>
    <t>Data as of (date)</t>
  </si>
  <si>
    <t>Optional — for your records.</t>
  </si>
  <si>
    <t>① ACCOUNT BALANCES  (month-end)</t>
  </si>
  <si>
    <t>Capital One Checking</t>
  </si>
  <si>
    <t>→ Balances</t>
  </si>
  <si>
    <t>Capital One Savings</t>
  </si>
  <si>
    <t>Venmo float</t>
  </si>
  <si>
    <t>Matt 401k</t>
  </si>
  <si>
    <t>Sue pension (est.)</t>
  </si>
  <si>
    <t>② SOLAR — ENERGY  (Enphase, kWh)</t>
  </si>
  <si>
    <t>Produced (kWh)</t>
  </si>
  <si>
    <t>→ Solar Reinvestment log</t>
  </si>
  <si>
    <t>Consumed (kWh)</t>
  </si>
  <si>
    <t>Imported (kWh)</t>
  </si>
  <si>
    <t>Exported (kWh)</t>
  </si>
  <si>
    <t>③ SOLAR — ELECTRIC BILL</t>
  </si>
  <si>
    <t>Baseline electric (would-have-paid)</t>
  </si>
  <si>
    <t>→ Solar ROI row 9</t>
  </si>
  <si>
    <t>→ Solar ROI row 10</t>
  </si>
  <si>
    <t>④ AMAZON — split this month's total into buckets</t>
  </si>
  <si>
    <t>Amazon total to split (auto)</t>
  </si>
  <si>
    <t>Pulled from CC Detail for the chosen month — split it below.</t>
  </si>
  <si>
    <t>→ Amazon Reconciliation</t>
  </si>
  <si>
    <t>Split check (should match total)</t>
  </si>
  <si>
    <t>Compare to Amazon total above.</t>
  </si>
  <si>
    <t>⑤ COMP &amp; BENEFITS  (YTD, from paystub)</t>
  </si>
  <si>
    <t>Matt gross earnings YTD</t>
  </si>
  <si>
    <t>→ Comp &amp; Benefits</t>
  </si>
  <si>
    <t>Matt 401k contribution YTD</t>
  </si>
  <si>
    <t>Matt 401k match YTD</t>
  </si>
  <si>
    <t>FSA Dep Care YTD</t>
  </si>
  <si>
    <t>FSA Health Care YTD</t>
  </si>
  <si>
    <t>Tuition reimbursement YTD</t>
  </si>
  <si>
    <t>Stakeholder earnings YTD</t>
  </si>
  <si>
    <t>Sue 403b YTD</t>
  </si>
  <si>
    <t>529 contributions YTD</t>
  </si>
  <si>
    <t>⑥ DISCRETIONARY SPENT  (this month)</t>
  </si>
  <si>
    <t>Matt discretionary spent</t>
  </si>
  <si>
    <t>→ Spending Guardrail</t>
  </si>
  <si>
    <t>Sue discretionary spent</t>
  </si>
  <si>
    <t>Household discretionary spent</t>
  </si>
  <si>
    <t>After posting, blank the input cells for next month (or use the Form). The script only writes fields you filled, into the month you chose above.</t>
  </si>
  <si>
    <t>Discretionary Spending Guardrail</t>
  </si>
  <si>
    <t>Three lanes — Matt, Sue, Household — for dinners, drinks, coffee, entertainment, convenience &amp; vices. Unused budget ROLLS OVER, so a high 'available' balance = green light to splurge; a negative one = pause. ORANGE = inputs (actuals arrive via Monthly Entry). Educational tool, not advice.</t>
  </si>
  <si>
    <t>① BUDGET CONFIG  (per month)</t>
  </si>
  <si>
    <t>Matt monthly budget</t>
  </si>
  <si>
    <t>Sue monthly budget</t>
  </si>
  <si>
    <t>Household monthly budget</t>
  </si>
  <si>
    <t>Shared dinners/entertainment together — set to taste.</t>
  </si>
  <si>
    <t>Combined monthly budget</t>
  </si>
  <si>
    <t>Splurge-room threshold ($)</t>
  </si>
  <si>
    <t>When a lane's rollover balance clears this, it's green to splurge.</t>
  </si>
  <si>
    <t>Reporting month</t>
  </si>
  <si>
    <t>Drives the standings panel below.</t>
  </si>
  <si>
    <t>② WHERE YOU STAND  (reporting month)</t>
  </si>
  <si>
    <t>Lane</t>
  </si>
  <si>
    <t>Budget</t>
  </si>
  <si>
    <t>Spent (mo)</t>
  </si>
  <si>
    <t>Rollover avail.</t>
  </si>
  <si>
    <t>Verdict</t>
  </si>
  <si>
    <t>Matt</t>
  </si>
  <si>
    <t>Sue</t>
  </si>
  <si>
    <t>Household</t>
  </si>
  <si>
    <t>Combined</t>
  </si>
  <si>
    <t>③ MONTHLY TRACKER  (rollover carries forward)</t>
  </si>
  <si>
    <t>Matt — Budget</t>
  </si>
  <si>
    <t>Matt — Actual (spent)</t>
  </si>
  <si>
    <t>Matt — Rollover available</t>
  </si>
  <si>
    <t>Sue — Budget</t>
  </si>
  <si>
    <t>Sue — Actual (spent)</t>
  </si>
  <si>
    <t>Sue — Rollover available</t>
  </si>
  <si>
    <t>Household — Budget</t>
  </si>
  <si>
    <t>Household — Actual (spent)</t>
  </si>
  <si>
    <t>Household — Rollover available</t>
  </si>
  <si>
    <t>Combined — Actual</t>
  </si>
  <si>
    <t>Combined — Budget</t>
  </si>
  <si>
    <t>Combined — Rollover available</t>
  </si>
  <si>
    <t>④ IMPACT ON YOUR SAVINGS / FIRE</t>
  </si>
  <si>
    <t>YTD combined budget</t>
  </si>
  <si>
    <t>YTD combined actual</t>
  </si>
  <si>
    <t>YTD over / (under)</t>
  </si>
  <si>
    <t>Positive = overspent (money that didn't get invested).</t>
  </si>
  <si>
    <t>Growth factor (real, 20 yrs)</t>
  </si>
  <si>
    <t>Compounded cost of overspend</t>
  </si>
  <si>
    <t>What this year's overspend would be worth in 20 yrs if invested instead.</t>
  </si>
  <si>
    <t>How rollover works: each month adds the lane's budget and subtracts what you spent. Underspend and the balance grows (bank it for a guilt-free splurge later); overspend and it goes negative until you claw it back. Actuals post automatically from the Monthly Entry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</si>
</sst>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0.0"/>
    <numFmt numFmtId="166" formatCode="0.0%"/>
    <numFmt numFmtId="167" formatCode="\$#,##0"/>
    <numFmt numFmtId="168" formatCode="\$0.000"/>
  </numFmts>
  <fonts count="18">
    <font>
      <sz val="11"/>
      <color theme="1"/>
      <name val="Calibri"/>
      <scheme val="minor"/>
    </font>
    <font>
      <b/>
      <sz val="16"/>
      <color rgb="FF1F4E78"/>
      <name val="Calibri"/>
    </font>
    <font>
      <sz val="11"/>
      <color theme="1"/>
      <name val="Calibri"/>
      <scheme val="minor"/>
    </font>
    <font>
      <i/>
      <sz val="9"/>
      <color rgb="FF808080"/>
      <name val="Calibri"/>
    </font>
    <font>
      <b/>
      <sz val="11"/>
      <color rgb="FFFFFFFF"/>
      <name val="Calibri"/>
    </font>
    <font>
      <b/>
      <sz val="11"/>
      <color rgb="FF1F4E78"/>
      <name val="Calibri"/>
    </font>
    <font>
      <sz val="11"/>
      <color theme="1"/>
      <name val="Calibri"/>
    </font>
    <font>
      <b/>
      <sz val="11"/>
      <color theme="1"/>
      <name val="Calibri"/>
    </font>
    <font>
      <b/>
      <sz val="14"/>
      <color rgb="FF1F4E78"/>
      <name val="Calibri"/>
    </font>
    <font>
      <b/>
      <sz val="11"/>
      <color theme="1"/>
      <name val="Calibri"/>
      <scheme val="minor"/>
    </font>
    <font>
      <sz val="11"/>
      <color rgb="FF000000"/>
      <name val="&quot;Aptos Narrow&quot;"/>
    </font>
    <font>
      <sz val="11"/>
      <color rgb="FF000000"/>
      <name val="Arial"/>
    </font>
    <font>
      <b/>
      <sz val="14"/>
      <color rgb="FF1F4E79"/>
      <name val="Calibri"/>
    </font>
    <font>
      <i/>
      <sz val="9"/>
      <color rgb="FF595959"/>
      <name val="Calibri"/>
    </font>
    <font>
      <b/>
      <sz val="11"/>
      <color rgb="FFFFFFFF"/>
      <name val="Calibri"/>
    </font>
    <font>
      <i/>
      <sz val="9"/>
      <color rgb="FF808080"/>
      <name val="Calibri"/>
    </font>
    <font>
      <b/>
      <sz val="11"/>
      <name val="Calibri"/>
    </font>
    <font>
      <b/>
      <sz val="11"/>
      <color rgb="FF1F4E79"/>
      <name val="Calibri"/>
    </font>
  </fonts>
  <fills count="14">
    <fill>
      <patternFill patternType="none"/>
    </fill>
    <fill>
      <patternFill patternType="gray125"/>
    </fill>
    <fill>
      <patternFill patternType="solid">
        <fgColor rgb="FF1F4E78"/>
        <bgColor rgb="FF1F4E78"/>
      </patternFill>
    </fill>
    <fill>
      <patternFill patternType="solid">
        <fgColor rgb="FFBDD7EE"/>
        <bgColor rgb="FFBDD7EE"/>
      </patternFill>
    </fill>
    <fill>
      <patternFill patternType="solid">
        <fgColor rgb="FFFFF2CC"/>
        <bgColor rgb="FFFFF2CC"/>
      </patternFill>
    </fill>
    <fill>
      <patternFill patternType="solid">
        <fgColor rgb="FFDDEBF7"/>
        <bgColor rgb="FFDDEBF7"/>
      </patternFill>
    </fill>
    <fill>
      <patternFill patternType="solid">
        <fgColor rgb="FFFCE4D6"/>
        <bgColor rgb="FFFCE4D6"/>
      </patternFill>
    </fill>
    <fill>
      <patternFill patternType="solid">
        <fgColor rgb="FFE2F0D9"/>
        <bgColor rgb="FFE2F0D9"/>
      </patternFill>
    </fill>
    <fill>
      <patternFill patternType="solid">
        <fgColor rgb="FF2F5496"/>
      </patternFill>
    </fill>
    <fill>
      <patternFill patternType="solid">
        <fgColor rgb="FFFFE699"/>
      </patternFill>
    </fill>
    <fill>
      <patternFill patternType="solid">
        <fgColor rgb="FFF8CBAD"/>
      </patternFill>
    </fill>
    <fill>
      <patternFill patternType="solid">
        <fgColor rgb="FFE2EFDA"/>
      </patternFill>
    </fill>
    <fill>
      <patternFill patternType="solid">
        <fgColor rgb="FF8EA9DB"/>
      </patternFill>
    </fill>
    <fill>
      <patternFill patternType="solid">
        <fgColor rgb="FFD9E1F2"/>
      </patternFill>
    </fill>
  </fills>
  <borders count="4">
    <border>
      <left/>
      <right/>
      <top/>
      <bottom/>
      <diagonal/>
    </border>
    <border>
      <left style="thin">
        <color rgb="FFB4B4B4"/>
      </left>
      <right style="thin">
        <color rgb="FFB4B4B4"/>
      </right>
      <top style="thin">
        <color rgb="FFB4B4B4"/>
      </top>
      <bottom style="thin">
        <color rgb="FFB4B4B4"/>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3">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xf>
    <xf numFmtId="0" fontId="5" fillId="3" borderId="2" xfId="0" applyFont="1" applyFill="1" applyBorder="1"/>
    <xf numFmtId="164" fontId="6" fillId="4" borderId="2" xfId="0" applyNumberFormat="1" applyFont="1" applyFill="1" applyBorder="1"/>
    <xf numFmtId="164" fontId="6" fillId="0" borderId="0" xfId="0" applyNumberFormat="1" applyFont="1"/>
    <xf numFmtId="0" fontId="7" fillId="5" borderId="1" xfId="0" applyFont="1" applyFill="1" applyBorder="1"/>
    <xf numFmtId="164" fontId="7" fillId="5" borderId="1" xfId="0" applyNumberFormat="1" applyFont="1" applyFill="1" applyBorder="1"/>
    <xf numFmtId="0" fontId="8" fillId="0" borderId="0" xfId="0" applyFont="1"/>
    <xf numFmtId="0" fontId="5" fillId="0" borderId="0" xfId="0" applyFont="1"/>
    <xf numFmtId="165" fontId="6" fillId="0" borderId="0" xfId="0" applyNumberFormat="1" applyFont="1"/>
    <xf numFmtId="166" fontId="6" fillId="0" borderId="0" xfId="0" applyNumberFormat="1" applyFont="1"/>
    <xf numFmtId="9" fontId="6" fillId="0" borderId="0" xfId="0" applyNumberFormat="1" applyFont="1"/>
    <xf numFmtId="166" fontId="6" fillId="6" borderId="2" xfId="0" applyNumberFormat="1" applyFont="1" applyFill="1" applyBorder="1"/>
    <xf numFmtId="0" fontId="6" fillId="6" borderId="2" xfId="0" applyFont="1" applyFill="1" applyBorder="1"/>
    <xf numFmtId="164" fontId="6" fillId="6" borderId="2" xfId="0" applyNumberFormat="1" applyFont="1" applyFill="1" applyBorder="1"/>
    <xf numFmtId="10" fontId="6" fillId="6" borderId="2" xfId="0" applyNumberFormat="1" applyFont="1" applyFill="1" applyBorder="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9" fillId="0" borderId="0" xfId="0" applyFont="1"/>
    <xf numFmtId="164" fontId="2" fillId="0" borderId="0" xfId="0" applyNumberFormat="1" applyFont="1"/>
    <xf numFmtId="0" fontId="10" fillId="0" borderId="0" xfId="0" applyFont="1" applyAlignment="1">
      <alignment horizontal="right"/>
    </xf>
    <xf numFmtId="0" fontId="10" fillId="0" borderId="0" xfId="0" applyFont="1"/>
    <xf numFmtId="14" fontId="10" fillId="0" borderId="0" xfId="0" applyNumberFormat="1" applyFont="1" applyAlignment="1">
      <alignment horizontal="right"/>
    </xf>
    <xf numFmtId="0" fontId="11" fillId="0" borderId="0" xfId="0" applyFont="1"/>
    <xf numFmtId="0" fontId="10" fillId="0" borderId="0" xfId="0" applyFont="1" applyAlignment="1">
      <alignment horizontal="center"/>
    </xf>
    <xf numFmtId="0" fontId="6" fillId="7" borderId="2" xfId="0" applyFont="1" applyFill="1" applyBorder="1"/>
    <xf numFmtId="164" fontId="6" fillId="10" borderId="2" xfId="0" applyNumberFormat="1" applyFont="1" applyFill="1" applyBorder="1"/>
    <xf numFmtId="167" fontId="6" fillId="10" borderId="2" xfId="0" applyNumberFormat="1" applyFont="1" applyFill="1" applyBorder="1"/>
    <xf numFmtId="0" fontId="15" fillId="0" borderId="0" xfId="0" applyFont="1" applyAlignment="1">
      <alignment vertical="center" wrapText="1"/>
    </xf>
    <xf numFmtId="0" fontId="12" fillId="0" borderId="0" xfId="0" applyFont="1"/>
    <xf numFmtId="0" fontId="14" fillId="8" borderId="0" xfId="0" applyFont="1" applyFill="1"/>
    <xf numFmtId="0" fontId="0" fillId="8" borderId="0" xfId="0" applyFill="1"/>
    <xf numFmtId="0" fontId="0" fillId="9" borderId="0" xfId="0" applyFill="1" applyAlignment="1">
      <alignment horizontal="center" vertical="center"/>
    </xf>
    <xf numFmtId="0" fontId="15" fillId="0" borderId="0" xfId="0" applyFont="1"/>
    <xf numFmtId="165" fontId="0" fillId="9" borderId="0" xfId="0" applyNumberFormat="1" applyFill="1" applyAlignment="1">
      <alignment horizontal="center" vertical="center"/>
    </xf>
    <xf numFmtId="0" fontId="0" fillId="10" borderId="0" xfId="0" applyFill="1" applyAlignment="1">
      <alignment horizontal="center" vertical="center"/>
    </xf>
    <xf numFmtId="167" fontId="0" fillId="10" borderId="0" xfId="0" applyNumberFormat="1" applyFill="1"/>
    <xf numFmtId="166" fontId="0" fillId="10" borderId="0" xfId="0" applyNumberFormat="1" applyFill="1"/>
    <xf numFmtId="165" fontId="0" fillId="10" borderId="0" xfId="0" applyNumberFormat="1" applyFill="1" applyAlignment="1">
      <alignment horizontal="center" vertical="center"/>
    </xf>
    <xf numFmtId="0" fontId="16" fillId="12" borderId="3" xfId="0" applyFont="1" applyFill="1" applyBorder="1" applyAlignment="1">
      <alignment horizontal="center" vertical="center"/>
    </xf>
    <xf numFmtId="0" fontId="0" fillId="11" borderId="0" xfId="0" applyFill="1" applyAlignment="1">
      <alignment horizontal="center" vertical="center"/>
    </xf>
    <xf numFmtId="0" fontId="0" fillId="0" borderId="3" xfId="0" applyBorder="1" applyAlignment="1">
      <alignment horizontal="center" vertical="center"/>
    </xf>
    <xf numFmtId="166" fontId="0" fillId="0" borderId="3" xfId="0" applyNumberFormat="1" applyBorder="1" applyAlignment="1">
      <alignment horizontal="center" vertical="center"/>
    </xf>
    <xf numFmtId="166" fontId="0" fillId="11" borderId="0" xfId="0" applyNumberFormat="1" applyFill="1" applyAlignment="1">
      <alignment horizontal="center" vertical="center"/>
    </xf>
    <xf numFmtId="165" fontId="0" fillId="13" borderId="0" xfId="0" applyNumberFormat="1" applyFill="1" applyAlignment="1">
      <alignment horizontal="center" vertical="center"/>
    </xf>
    <xf numFmtId="166" fontId="0" fillId="13" borderId="0" xfId="0" applyNumberFormat="1" applyFill="1" applyAlignment="1">
      <alignment horizontal="center" vertical="center"/>
    </xf>
    <xf numFmtId="167" fontId="0" fillId="13" borderId="0" xfId="0" applyNumberFormat="1" applyFill="1"/>
    <xf numFmtId="0" fontId="0" fillId="13" borderId="0" xfId="0" applyFill="1" applyAlignment="1">
      <alignment horizontal="center" vertical="center"/>
    </xf>
    <xf numFmtId="166" fontId="16" fillId="13" borderId="0" xfId="0" applyNumberFormat="1" applyFont="1" applyFill="1" applyAlignment="1">
      <alignment horizontal="center" vertical="center"/>
    </xf>
    <xf numFmtId="0" fontId="16" fillId="0" borderId="0" xfId="0" applyFont="1"/>
    <xf numFmtId="167" fontId="17" fillId="13" borderId="0" xfId="0" applyNumberFormat="1" applyFont="1" applyFill="1"/>
    <xf numFmtId="0" fontId="16" fillId="12" borderId="3" xfId="0" applyFont="1" applyFill="1" applyBorder="1" applyAlignment="1">
      <alignment horizontal="center" vertical="center" wrapText="1"/>
    </xf>
    <xf numFmtId="165" fontId="0" fillId="0" borderId="3" xfId="0" applyNumberFormat="1" applyBorder="1" applyAlignment="1">
      <alignment horizontal="center" vertical="center"/>
    </xf>
    <xf numFmtId="166" fontId="16" fillId="0" borderId="3" xfId="0" applyNumberFormat="1" applyFont="1" applyBorder="1" applyAlignment="1">
      <alignment horizontal="center" vertical="center"/>
    </xf>
    <xf numFmtId="167" fontId="0" fillId="0" borderId="3" xfId="0" applyNumberFormat="1" applyBorder="1"/>
    <xf numFmtId="0" fontId="16" fillId="13" borderId="0" xfId="0" applyFont="1" applyFill="1" applyAlignment="1">
      <alignment horizontal="center" vertical="center"/>
    </xf>
    <xf numFmtId="166" fontId="0" fillId="10" borderId="0" xfId="0" applyNumberFormat="1" applyFill="1" applyAlignment="1">
      <alignment horizontal="center" vertical="center"/>
    </xf>
    <xf numFmtId="10" fontId="0" fillId="11" borderId="0" xfId="0" applyNumberFormat="1" applyFill="1" applyAlignment="1">
      <alignment horizontal="center" vertical="center"/>
    </xf>
    <xf numFmtId="167" fontId="0" fillId="9" borderId="0" xfId="0" applyNumberFormat="1" applyFill="1"/>
    <xf numFmtId="167" fontId="0" fillId="11" borderId="0" xfId="0" applyNumberFormat="1" applyFill="1"/>
    <xf numFmtId="166" fontId="17" fillId="13" borderId="0" xfId="0" applyNumberFormat="1" applyFont="1" applyFill="1" applyAlignment="1">
      <alignment horizontal="center" vertical="center"/>
    </xf>
    <xf numFmtId="165" fontId="17" fillId="13" borderId="0" xfId="0" applyNumberFormat="1" applyFont="1" applyFill="1" applyAlignment="1">
      <alignment horizontal="center" vertical="center"/>
    </xf>
    <xf numFmtId="165" fontId="0" fillId="11" borderId="0" xfId="0" applyNumberFormat="1" applyFill="1" applyAlignment="1">
      <alignment horizontal="center" vertical="center"/>
    </xf>
    <xf numFmtId="1" fontId="0" fillId="11" borderId="0" xfId="0" applyNumberFormat="1" applyFill="1" applyAlignment="1">
      <alignment horizontal="center" vertical="center"/>
    </xf>
    <xf numFmtId="0" fontId="16" fillId="12" borderId="3" xfId="0" applyFont="1" applyFill="1" applyBorder="1"/>
    <xf numFmtId="0" fontId="16" fillId="0" borderId="3" xfId="0" applyFont="1" applyBorder="1"/>
    <xf numFmtId="167" fontId="0" fillId="11" borderId="3" xfId="0" applyNumberFormat="1" applyFill="1" applyBorder="1"/>
    <xf numFmtId="167" fontId="16" fillId="13" borderId="3" xfId="0" applyNumberFormat="1" applyFont="1" applyFill="1" applyBorder="1"/>
    <xf numFmtId="0" fontId="0" fillId="0" borderId="3" xfId="0" applyBorder="1"/>
    <xf numFmtId="167" fontId="0" fillId="10" borderId="3" xfId="0" applyNumberFormat="1" applyFill="1" applyBorder="1"/>
    <xf numFmtId="167" fontId="16" fillId="11" borderId="3" xfId="0" applyNumberFormat="1" applyFont="1" applyFill="1" applyBorder="1"/>
    <xf numFmtId="3" fontId="0" fillId="10" borderId="3" xfId="0" applyNumberFormat="1" applyFill="1" applyBorder="1"/>
    <xf numFmtId="3" fontId="0" fillId="11" borderId="3" xfId="0" applyNumberFormat="1" applyFill="1" applyBorder="1"/>
    <xf numFmtId="3" fontId="16" fillId="11" borderId="3" xfId="0" applyNumberFormat="1" applyFont="1" applyFill="1" applyBorder="1"/>
    <xf numFmtId="167" fontId="16" fillId="13" borderId="0" xfId="0" applyNumberFormat="1" applyFont="1" applyFill="1"/>
    <xf numFmtId="168" fontId="0" fillId="10" borderId="0" xfId="0" applyNumberFormat="1" applyFill="1"/>
    <xf numFmtId="3" fontId="0" fillId="10" borderId="0" xfId="0" applyNumberFormat="1" applyFill="1"/>
    <xf numFmtId="1" fontId="0" fillId="0" borderId="3" xfId="0" applyNumberFormat="1" applyBorder="1" applyAlignment="1">
      <alignment horizontal="center" vertical="center"/>
    </xf>
    <xf numFmtId="166" fontId="0" fillId="11" borderId="0" xfId="0" applyNumberFormat="1" applyFill="1"/>
    <xf numFmtId="0" fontId="0" fillId="10" borderId="0" xfId="0" applyFill="1"/>
    <xf numFmtId="167" fontId="16" fillId="11" borderId="0" xfId="0" applyNumberFormat="1" applyFont="1" applyFill="1"/>
    <xf numFmtId="0" fontId="0" fillId="12" borderId="3" xfId="0" applyFill="1" applyBorder="1"/>
    <xf numFmtId="2" fontId="0" fillId="11" borderId="0" xfId="0" applyNumberFormat="1" applyFill="1"/>
    <xf numFmtId="0" fontId="1" fillId="0" borderId="0" xfId="0" applyFont="1" applyAlignment="1">
      <alignment horizontal="right"/>
    </xf>
    <xf numFmtId="0" fontId="0" fillId="0" borderId="0" xfId="0"/>
    <xf numFmtId="0" fontId="3" fillId="0" borderId="0" xfId="0" applyFont="1"/>
    <xf numFmtId="0" fontId="8" fillId="0" borderId="0" xfId="0" applyFont="1"/>
    <xf numFmtId="0" fontId="15" fillId="0" borderId="0" xfId="0" applyFont="1" applyAlignment="1">
      <alignment vertical="center" wrapText="1"/>
    </xf>
    <xf numFmtId="0" fontId="13" fillId="0" borderId="0" xfId="0" applyFont="1" applyAlignment="1">
      <alignment vertical="center" wrapText="1"/>
    </xf>
    <xf numFmtId="0" fontId="15" fillId="11" borderId="0" xfId="0" applyFont="1" applyFill="1" applyAlignment="1">
      <alignment vertical="center" wrapText="1"/>
    </xf>
    <xf numFmtId="0" fontId="15" fillId="0" borderId="0" xfId="0" applyFont="1"/>
  </cellXfs>
  <cellStyles count="1">
    <cellStyle name="Normal" xfId="0" builtinId="0"/>
  </cellStyles>
  <dxfs count="17">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
      <font>
        <color rgb="FF9C0006"/>
      </font>
      <fill>
        <patternFill patternType="solid">
          <fgColor rgb="FFFFC7CE"/>
        </patternFill>
      </fill>
    </dxf>
    <dxf>
      <font>
        <b/>
        <color rgb="FF2E7D32"/>
      </font>
    </dxf>
    <dxf>
      <font>
        <b/>
        <color rgb="FFC00000"/>
      </font>
    </dxf>
    <dxf>
      <font>
        <b/>
        <color rgb="FFC00000"/>
      </font>
    </dxf>
    <dxf>
      <font>
        <b/>
        <color rgb="FFC00000"/>
      </font>
    </dxf>
    <dxf>
      <font>
        <b/>
        <color rgb="FF2E7D32"/>
      </font>
    </dxf>
    <dxf>
      <font>
        <b/>
        <color rgb="FFC00000"/>
      </font>
    </dxf>
    <dxf>
      <font>
        <b/>
        <color rgb="FFC00000"/>
      </font>
    </dxf>
    <dxf>
      <font>
        <b/>
        <color rgb="FF2E7D3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Monthly Cash Flow</a:t>
            </a:r>
          </a:p>
        </c:rich>
      </c:tx>
      <c:overlay val="0"/>
    </c:title>
    <c:autoTitleDeleted val="0"/>
    <c:plotArea>
      <c:layout/>
      <c:barChart>
        <c:barDir val="col"/>
        <c:grouping val="clustered"/>
        <c:varyColors val="1"/>
        <c:ser>
          <c:idx val="0"/>
          <c:order val="0"/>
          <c:spPr>
            <a:solidFill>
              <a:srgbClr val="2E7D32"/>
            </a:solidFill>
            <a:ln cmpd="sng">
              <a:noFill/>
              <a:prstDash val="solid"/>
            </a:ln>
          </c:spPr>
          <c:invertIfNegative val="1"/>
          <c:cat>
            <c:strRef>
              <c:f>Charts!$A$5:$A$8</c:f>
              <c:strCache>
                <c:ptCount val="4"/>
                <c:pt idx="0">
                  <c:v>Month</c:v>
                </c:pt>
                <c:pt idx="1">
                  <c:v>Total Income</c:v>
                </c:pt>
                <c:pt idx="2">
                  <c:v>Total Expenses</c:v>
                </c:pt>
                <c:pt idx="3">
                  <c:v>Net Cash Flow</c:v>
                </c:pt>
              </c:strCache>
            </c:strRef>
          </c:cat>
          <c:val>
            <c:numRef>
              <c:f>Charts!$B$5:$B$8</c:f>
              <c:numCache>
                <c:formatCode>_(\$* #,##0_);_(\$* \(#,##0\);_(\$* "-"??_);_(@_)</c:formatCode>
                <c:ptCount val="4"/>
                <c:pt idx="0" formatCode="General">
                  <c:v>0</c:v>
                </c:pt>
                <c:pt idx="1">
                  <c:v>11876.789999999999</c:v>
                </c:pt>
                <c:pt idx="2" formatCode="General">
                  <c:v>0</c:v>
                </c:pt>
                <c:pt idx="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0-4081-4741-9E4E-057CBA24C462}"/>
            </c:ext>
          </c:extLst>
        </c:ser>
        <c:ser>
          <c:idx val="1"/>
          <c:order val="1"/>
          <c:spPr>
            <a:solidFill>
              <a:srgbClr val="C00000"/>
            </a:solidFill>
            <a:ln cmpd="sng">
              <a:noFill/>
              <a:prstDash val="solid"/>
            </a:ln>
          </c:spPr>
          <c:invertIfNegative val="1"/>
          <c:cat>
            <c:strRef>
              <c:f>Charts!$A$5:$A$8</c:f>
              <c:strCache>
                <c:ptCount val="4"/>
                <c:pt idx="0">
                  <c:v>Month</c:v>
                </c:pt>
                <c:pt idx="1">
                  <c:v>Total Income</c:v>
                </c:pt>
                <c:pt idx="2">
                  <c:v>Total Expenses</c:v>
                </c:pt>
                <c:pt idx="3">
                  <c:v>Net Cash Flow</c:v>
                </c:pt>
              </c:strCache>
            </c:strRef>
          </c:cat>
          <c:val>
            <c:numRef>
              <c:f>Charts!$C$5:$C$8</c:f>
              <c:numCache>
                <c:formatCode>_(\$* #,##0_);_(\$* \(#,##0\);_(\$* "-"??_);_(@_)</c:formatCode>
                <c:ptCount val="4"/>
                <c:pt idx="0" formatCode="General">
                  <c:v>0</c:v>
                </c:pt>
                <c:pt idx="1">
                  <c:v>11401.02</c:v>
                </c:pt>
                <c:pt idx="2" formatCode="General">
                  <c:v>0</c:v>
                </c:pt>
                <c:pt idx="3" formatCode="General">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1-4081-4741-9E4E-057CBA24C462}"/>
            </c:ext>
          </c:extLst>
        </c:ser>
        <c:dLbls>
          <c:showLegendKey val="0"/>
          <c:showVal val="0"/>
          <c:showCatName val="0"/>
          <c:showSerName val="0"/>
          <c:showPercent val="0"/>
          <c:showBubbleSize val="0"/>
        </c:dLbls>
        <c:gapWidth val="150"/>
        <c:axId val="1585165011"/>
        <c:axId val="1065133208"/>
      </c:barChart>
      <c:lineChart>
        <c:grouping val="standard"/>
        <c:varyColors val="1"/>
        <c:ser>
          <c:idx val="2"/>
          <c:order val="2"/>
          <c:spPr>
            <a:ln w="28575" cmpd="sng">
              <a:solidFill>
                <a:srgbClr val="1F4E78"/>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Charts!$D$5:$D$8</c:f>
              <c:numCache>
                <c:formatCode>_(\$* #,##0_);_(\$* \(#,##0\);_(\$* "-"??_);_(@_)</c:formatCode>
                <c:ptCount val="4"/>
                <c:pt idx="0" formatCode="General">
                  <c:v>0</c:v>
                </c:pt>
                <c:pt idx="1">
                  <c:v>10429.19</c:v>
                </c:pt>
                <c:pt idx="2" formatCode="General">
                  <c:v>0</c:v>
                </c:pt>
                <c:pt idx="3" formatCode="General">
                  <c:v>0</c:v>
                </c:pt>
              </c:numCache>
            </c:numRef>
          </c:val>
          <c:smooth val="0"/>
          <c:extLst>
            <c:ext xmlns:c16="http://schemas.microsoft.com/office/drawing/2014/chart" uri="{C3380CC4-5D6E-409C-BE32-E72D297353CC}">
              <c16:uniqueId val="{00000002-4081-4741-9E4E-057CBA24C462}"/>
            </c:ext>
          </c:extLst>
        </c:ser>
        <c:ser>
          <c:idx val="3"/>
          <c:order val="3"/>
          <c:spPr>
            <a:ln cmpd="sng">
              <a:solidFill>
                <a:srgbClr val="8064A2"/>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Charts!$E$5:$E$8</c:f>
              <c:numCache>
                <c:formatCode>_(\$* #,##0_);_(\$* \(#,##0\);_(\$* "-"??_);_(@_)</c:formatCode>
                <c:ptCount val="4"/>
                <c:pt idx="0" formatCode="General">
                  <c:v>0</c:v>
                </c:pt>
                <c:pt idx="1">
                  <c:v>16039.88</c:v>
                </c:pt>
                <c:pt idx="2" formatCode="General">
                  <c:v>0</c:v>
                </c:pt>
                <c:pt idx="3" formatCode="General">
                  <c:v>0</c:v>
                </c:pt>
              </c:numCache>
            </c:numRef>
          </c:val>
          <c:smooth val="0"/>
          <c:extLst>
            <c:ext xmlns:c16="http://schemas.microsoft.com/office/drawing/2014/chart" uri="{C3380CC4-5D6E-409C-BE32-E72D297353CC}">
              <c16:uniqueId val="{00000003-4081-4741-9E4E-057CBA24C462}"/>
            </c:ext>
          </c:extLst>
        </c:ser>
        <c:ser>
          <c:idx val="4"/>
          <c:order val="4"/>
          <c:spPr>
            <a:ln cmpd="sng">
              <a:solidFill>
                <a:srgbClr val="4BACC6"/>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Charts!$F$5:$F$8</c:f>
              <c:numCache>
                <c:formatCode>_(\$* #,##0_);_(\$* \(#,##0\);_(\$* "-"??_);_(@_)</c:formatCode>
                <c:ptCount val="4"/>
                <c:pt idx="0" formatCode="General">
                  <c:v>0</c:v>
                </c:pt>
                <c:pt idx="1">
                  <c:v>12772.920000000002</c:v>
                </c:pt>
                <c:pt idx="2" formatCode="General">
                  <c:v>0</c:v>
                </c:pt>
                <c:pt idx="3" formatCode="General">
                  <c:v>0</c:v>
                </c:pt>
              </c:numCache>
            </c:numRef>
          </c:val>
          <c:smooth val="0"/>
          <c:extLst>
            <c:ext xmlns:c16="http://schemas.microsoft.com/office/drawing/2014/chart" uri="{C3380CC4-5D6E-409C-BE32-E72D297353CC}">
              <c16:uniqueId val="{00000004-4081-4741-9E4E-057CBA24C462}"/>
            </c:ext>
          </c:extLst>
        </c:ser>
        <c:ser>
          <c:idx val="5"/>
          <c:order val="5"/>
          <c:spPr>
            <a:ln cmpd="sng">
              <a:solidFill>
                <a:srgbClr val="F79646"/>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Charts!$G$5:$G$8</c:f>
              <c:numCache>
                <c:formatCode>_(\$* #,##0_);_(\$* \(#,##0\);_(\$* "-"??_);_(@_)</c:formatCode>
                <c:ptCount val="4"/>
                <c:pt idx="0" formatCode="General">
                  <c:v>0</c:v>
                </c:pt>
                <c:pt idx="1">
                  <c:v>90.949999999999989</c:v>
                </c:pt>
                <c:pt idx="2" formatCode="General">
                  <c:v>0</c:v>
                </c:pt>
                <c:pt idx="3" formatCode="General">
                  <c:v>0</c:v>
                </c:pt>
              </c:numCache>
            </c:numRef>
          </c:val>
          <c:smooth val="0"/>
          <c:extLst>
            <c:ext xmlns:c16="http://schemas.microsoft.com/office/drawing/2014/chart" uri="{C3380CC4-5D6E-409C-BE32-E72D297353CC}">
              <c16:uniqueId val="{00000005-4081-4741-9E4E-057CBA24C462}"/>
            </c:ext>
          </c:extLst>
        </c:ser>
        <c:ser>
          <c:idx val="6"/>
          <c:order val="6"/>
          <c:spPr>
            <a:ln cmpd="sng">
              <a:solidFill>
                <a:srgbClr val="84A7D1"/>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Charts!$H$5:$H$8</c:f>
              <c:numCache>
                <c:formatCode>_(\$* #,##0_);_(\$* \(#,##0\);_(\$* "-"??_);_(@_)</c:formatCode>
                <c:ptCount val="4"/>
                <c:pt idx="0" formatCode="General">
                  <c:v>0</c:v>
                </c:pt>
                <c:pt idx="1">
                  <c:v>0</c:v>
                </c:pt>
                <c:pt idx="2" formatCode="General">
                  <c:v>0</c:v>
                </c:pt>
                <c:pt idx="3" formatCode="General">
                  <c:v>0</c:v>
                </c:pt>
              </c:numCache>
            </c:numRef>
          </c:val>
          <c:smooth val="0"/>
          <c:extLst>
            <c:ext xmlns:c16="http://schemas.microsoft.com/office/drawing/2014/chart" uri="{C3380CC4-5D6E-409C-BE32-E72D297353CC}">
              <c16:uniqueId val="{00000006-4081-4741-9E4E-057CBA24C462}"/>
            </c:ext>
          </c:extLst>
        </c:ser>
        <c:ser>
          <c:idx val="7"/>
          <c:order val="7"/>
          <c:spPr>
            <a:ln cmpd="sng">
              <a:solidFill>
                <a:srgbClr val="D38582"/>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Charts!$I$5:$I$8</c:f>
              <c:numCache>
                <c:formatCode>_(\$* #,##0_);_(\$* \(#,##0\);_(\$* "-"??_);_(@_)</c:formatCode>
                <c:ptCount val="4"/>
                <c:pt idx="0" formatCode="General">
                  <c:v>0</c:v>
                </c:pt>
                <c:pt idx="1">
                  <c:v>0</c:v>
                </c:pt>
                <c:pt idx="2" formatCode="General">
                  <c:v>0</c:v>
                </c:pt>
                <c:pt idx="3" formatCode="General">
                  <c:v>0</c:v>
                </c:pt>
              </c:numCache>
            </c:numRef>
          </c:val>
          <c:smooth val="0"/>
          <c:extLst>
            <c:ext xmlns:c16="http://schemas.microsoft.com/office/drawing/2014/chart" uri="{C3380CC4-5D6E-409C-BE32-E72D297353CC}">
              <c16:uniqueId val="{00000007-4081-4741-9E4E-057CBA24C462}"/>
            </c:ext>
          </c:extLst>
        </c:ser>
        <c:ser>
          <c:idx val="8"/>
          <c:order val="8"/>
          <c:spPr>
            <a:ln cmpd="sng">
              <a:solidFill>
                <a:srgbClr val="B9CF8B"/>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Charts!$J$5:$J$8</c:f>
              <c:numCache>
                <c:formatCode>_(\$* #,##0_);_(\$* \(#,##0\);_(\$* "-"??_);_(@_)</c:formatCode>
                <c:ptCount val="4"/>
                <c:pt idx="0" formatCode="General">
                  <c:v>0</c:v>
                </c:pt>
                <c:pt idx="1">
                  <c:v>0</c:v>
                </c:pt>
                <c:pt idx="2" formatCode="General">
                  <c:v>0</c:v>
                </c:pt>
                <c:pt idx="3" formatCode="General">
                  <c:v>0</c:v>
                </c:pt>
              </c:numCache>
            </c:numRef>
          </c:val>
          <c:smooth val="0"/>
          <c:extLst>
            <c:ext xmlns:c16="http://schemas.microsoft.com/office/drawing/2014/chart" uri="{C3380CC4-5D6E-409C-BE32-E72D297353CC}">
              <c16:uniqueId val="{00000008-4081-4741-9E4E-057CBA24C462}"/>
            </c:ext>
          </c:extLst>
        </c:ser>
        <c:ser>
          <c:idx val="9"/>
          <c:order val="9"/>
          <c:spPr>
            <a:ln cmpd="sng">
              <a:solidFill>
                <a:srgbClr val="A693BE"/>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Charts!$K$5:$K$8</c:f>
              <c:numCache>
                <c:formatCode>_(\$* #,##0_);_(\$* \(#,##0\);_(\$* "-"??_);_(@_)</c:formatCode>
                <c:ptCount val="4"/>
                <c:pt idx="0" formatCode="General">
                  <c:v>0</c:v>
                </c:pt>
                <c:pt idx="1">
                  <c:v>0</c:v>
                </c:pt>
                <c:pt idx="2" formatCode="General">
                  <c:v>0</c:v>
                </c:pt>
                <c:pt idx="3" formatCode="General">
                  <c:v>0</c:v>
                </c:pt>
              </c:numCache>
            </c:numRef>
          </c:val>
          <c:smooth val="0"/>
          <c:extLst>
            <c:ext xmlns:c16="http://schemas.microsoft.com/office/drawing/2014/chart" uri="{C3380CC4-5D6E-409C-BE32-E72D297353CC}">
              <c16:uniqueId val="{00000009-4081-4741-9E4E-057CBA24C462}"/>
            </c:ext>
          </c:extLst>
        </c:ser>
        <c:ser>
          <c:idx val="10"/>
          <c:order val="10"/>
          <c:spPr>
            <a:ln cmpd="sng">
              <a:solidFill>
                <a:srgbClr val="81C5D7"/>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Charts!$L$5:$L$8</c:f>
              <c:numCache>
                <c:formatCode>_(\$* #,##0_);_(\$* \(#,##0\);_(\$* "-"??_);_(@_)</c:formatCode>
                <c:ptCount val="4"/>
                <c:pt idx="0" formatCode="General">
                  <c:v>0</c:v>
                </c:pt>
                <c:pt idx="1">
                  <c:v>0</c:v>
                </c:pt>
                <c:pt idx="2" formatCode="General">
                  <c:v>0</c:v>
                </c:pt>
                <c:pt idx="3" formatCode="General">
                  <c:v>0</c:v>
                </c:pt>
              </c:numCache>
            </c:numRef>
          </c:val>
          <c:smooth val="0"/>
          <c:extLst>
            <c:ext xmlns:c16="http://schemas.microsoft.com/office/drawing/2014/chart" uri="{C3380CC4-5D6E-409C-BE32-E72D297353CC}">
              <c16:uniqueId val="{0000000A-4081-4741-9E4E-057CBA24C462}"/>
            </c:ext>
          </c:extLst>
        </c:ser>
        <c:ser>
          <c:idx val="11"/>
          <c:order val="11"/>
          <c:spPr>
            <a:ln cmpd="sng">
              <a:solidFill>
                <a:srgbClr val="F9B67E"/>
              </a:solidFill>
              <a:prstDash val="solid"/>
            </a:ln>
          </c:spPr>
          <c:marker>
            <c:symbol val="none"/>
          </c:marker>
          <c:cat>
            <c:strRef>
              <c:f>Charts!$A$5:$A$8</c:f>
              <c:strCache>
                <c:ptCount val="4"/>
                <c:pt idx="0">
                  <c:v>Month</c:v>
                </c:pt>
                <c:pt idx="1">
                  <c:v>Total Income</c:v>
                </c:pt>
                <c:pt idx="2">
                  <c:v>Total Expenses</c:v>
                </c:pt>
                <c:pt idx="3">
                  <c:v>Net Cash Flow</c:v>
                </c:pt>
              </c:strCache>
            </c:strRef>
          </c:cat>
          <c:val>
            <c:numRef>
              <c:f>Charts!$M$5:$M$8</c:f>
              <c:numCache>
                <c:formatCode>_(\$* #,##0_);_(\$* \(#,##0\);_(\$* "-"??_);_(@_)</c:formatCode>
                <c:ptCount val="4"/>
                <c:pt idx="0" formatCode="General">
                  <c:v>0</c:v>
                </c:pt>
                <c:pt idx="1">
                  <c:v>0</c:v>
                </c:pt>
                <c:pt idx="2" formatCode="General">
                  <c:v>0</c:v>
                </c:pt>
                <c:pt idx="3" formatCode="General">
                  <c:v>0</c:v>
                </c:pt>
              </c:numCache>
            </c:numRef>
          </c:val>
          <c:smooth val="0"/>
          <c:extLst>
            <c:ext xmlns:c16="http://schemas.microsoft.com/office/drawing/2014/chart" uri="{C3380CC4-5D6E-409C-BE32-E72D297353CC}">
              <c16:uniqueId val="{0000000B-4081-4741-9E4E-057CBA24C462}"/>
            </c:ext>
          </c:extLst>
        </c:ser>
        <c:dLbls>
          <c:showLegendKey val="0"/>
          <c:showVal val="0"/>
          <c:showCatName val="0"/>
          <c:showSerName val="0"/>
          <c:showPercent val="0"/>
          <c:showBubbleSize val="0"/>
        </c:dLbls>
        <c:marker val="1"/>
        <c:smooth val="0"/>
        <c:axId val="1585165011"/>
        <c:axId val="1065133208"/>
      </c:lineChart>
      <c:catAx>
        <c:axId val="1585165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1065133208"/>
        <c:crosses val="autoZero"/>
        <c:auto val="1"/>
        <c:lblAlgn val="ctr"/>
        <c:lblOffset val="100"/>
        <c:noMultiLvlLbl val="1"/>
      </c:catAx>
      <c:valAx>
        <c:axId val="1065133208"/>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1585165011"/>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Variable Spending by Category</a:t>
            </a:r>
          </a:p>
        </c:rich>
      </c:tx>
      <c:overlay val="0"/>
    </c:title>
    <c:autoTitleDeleted val="0"/>
    <c:plotArea>
      <c:layout/>
      <c:barChart>
        <c:barDir val="col"/>
        <c:grouping val="stacked"/>
        <c:varyColors val="1"/>
        <c:ser>
          <c:idx val="0"/>
          <c:order val="0"/>
          <c:spPr>
            <a:solidFill>
              <a:schemeClr val="accent1"/>
            </a:solidFill>
            <a:ln cmpd="sng">
              <a:noFill/>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Detail'!$B$4:$B$17</c:f>
              <c:numCache>
                <c:formatCode>_(\$* #,##0_);_(\$* \(#,##0\);_(\$* "-"??_);_(@_)</c:formatCode>
                <c:ptCount val="14"/>
                <c:pt idx="0" formatCode="General">
                  <c:v>0</c:v>
                </c:pt>
                <c:pt idx="1">
                  <c:v>635.40000000000009</c:v>
                </c:pt>
                <c:pt idx="2">
                  <c:v>198.77</c:v>
                </c:pt>
                <c:pt idx="3">
                  <c:v>683.65000000000009</c:v>
                </c:pt>
                <c:pt idx="4">
                  <c:v>111.05</c:v>
                </c:pt>
                <c:pt idx="5">
                  <c:v>240</c:v>
                </c:pt>
                <c:pt idx="7">
                  <c:v>53.499999999999993</c:v>
                </c:pt>
                <c:pt idx="8">
                  <c:v>35.54</c:v>
                </c:pt>
                <c:pt idx="9">
                  <c:v>47.180000000000007</c:v>
                </c:pt>
                <c:pt idx="10">
                  <c:v>856.77</c:v>
                </c:pt>
                <c:pt idx="13">
                  <c:v>2349.16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0-996A-462F-8920-DB97B3C65F8F}"/>
            </c:ext>
          </c:extLst>
        </c:ser>
        <c:ser>
          <c:idx val="1"/>
          <c:order val="1"/>
          <c:spPr>
            <a:solidFill>
              <a:schemeClr val="accent2"/>
            </a:solidFill>
            <a:ln cmpd="sng">
              <a:noFill/>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Detail'!$C$4:$C$17</c:f>
              <c:numCache>
                <c:formatCode>_(\$* #,##0_);_(\$* \(#,##0\);_(\$* "-"??_);_(@_)</c:formatCode>
                <c:ptCount val="14"/>
                <c:pt idx="0" formatCode="General">
                  <c:v>0</c:v>
                </c:pt>
                <c:pt idx="1">
                  <c:v>940.29000000000008</c:v>
                </c:pt>
                <c:pt idx="2">
                  <c:v>242.84</c:v>
                </c:pt>
                <c:pt idx="3">
                  <c:v>884.87</c:v>
                </c:pt>
                <c:pt idx="4">
                  <c:v>104.34</c:v>
                </c:pt>
                <c:pt idx="5">
                  <c:v>37.61</c:v>
                </c:pt>
                <c:pt idx="7">
                  <c:v>1.4399999999999979</c:v>
                </c:pt>
                <c:pt idx="8">
                  <c:v>55.34</c:v>
                </c:pt>
                <c:pt idx="9">
                  <c:v>186.05</c:v>
                </c:pt>
                <c:pt idx="10">
                  <c:v>267.06</c:v>
                </c:pt>
                <c:pt idx="13">
                  <c:v>450.94000000000011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1-996A-462F-8920-DB97B3C65F8F}"/>
            </c:ext>
          </c:extLst>
        </c:ser>
        <c:ser>
          <c:idx val="2"/>
          <c:order val="2"/>
          <c:spPr>
            <a:solidFill>
              <a:schemeClr val="accent3"/>
            </a:solidFill>
            <a:ln cmpd="sng">
              <a:noFill/>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Detail'!$D$4:$D$17</c:f>
              <c:numCache>
                <c:formatCode>_(\$* #,##0_);_(\$* \(#,##0\);_(\$* "-"??_);_(@_)</c:formatCode>
                <c:ptCount val="14"/>
                <c:pt idx="0" formatCode="General">
                  <c:v>0</c:v>
                </c:pt>
                <c:pt idx="1">
                  <c:v>701.42000000000007</c:v>
                </c:pt>
                <c:pt idx="2">
                  <c:v>214.4</c:v>
                </c:pt>
                <c:pt idx="3">
                  <c:v>575</c:v>
                </c:pt>
                <c:pt idx="4">
                  <c:v>111.05</c:v>
                </c:pt>
                <c:pt idx="5">
                  <c:v>128.26</c:v>
                </c:pt>
                <c:pt idx="6">
                  <c:v>30.54</c:v>
                </c:pt>
                <c:pt idx="7">
                  <c:v>215.5</c:v>
                </c:pt>
                <c:pt idx="8">
                  <c:v>18</c:v>
                </c:pt>
                <c:pt idx="9">
                  <c:v>26.75</c:v>
                </c:pt>
                <c:pt idx="10">
                  <c:v>417.23</c:v>
                </c:pt>
                <c:pt idx="13">
                  <c:v>24367.439999999999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2-996A-462F-8920-DB97B3C65F8F}"/>
            </c:ext>
          </c:extLst>
        </c:ser>
        <c:ser>
          <c:idx val="3"/>
          <c:order val="3"/>
          <c:spPr>
            <a:solidFill>
              <a:schemeClr val="accent4"/>
            </a:solidFill>
            <a:ln cmpd="sng">
              <a:noFill/>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Detail'!$E$4:$E$17</c:f>
              <c:numCache>
                <c:formatCode>_(\$* #,##0_);_(\$* \(#,##0\);_(\$* "-"??_);_(@_)</c:formatCode>
                <c:ptCount val="14"/>
                <c:pt idx="0" formatCode="General">
                  <c:v>0</c:v>
                </c:pt>
                <c:pt idx="1">
                  <c:v>746.33</c:v>
                </c:pt>
                <c:pt idx="2">
                  <c:v>356.42</c:v>
                </c:pt>
                <c:pt idx="3">
                  <c:v>1032.83</c:v>
                </c:pt>
                <c:pt idx="4">
                  <c:v>160.4</c:v>
                </c:pt>
                <c:pt idx="5">
                  <c:v>533.78</c:v>
                </c:pt>
                <c:pt idx="6">
                  <c:v>917.41</c:v>
                </c:pt>
                <c:pt idx="7">
                  <c:v>96.529999999999987</c:v>
                </c:pt>
                <c:pt idx="8">
                  <c:v>108.71</c:v>
                </c:pt>
                <c:pt idx="9">
                  <c:v>224.72</c:v>
                </c:pt>
                <c:pt idx="10">
                  <c:v>482.16</c:v>
                </c:pt>
                <c:pt idx="11">
                  <c:v>490</c:v>
                </c:pt>
                <c:pt idx="13">
                  <c:v>1769.75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3-996A-462F-8920-DB97B3C65F8F}"/>
            </c:ext>
          </c:extLst>
        </c:ser>
        <c:ser>
          <c:idx val="4"/>
          <c:order val="4"/>
          <c:spPr>
            <a:solidFill>
              <a:schemeClr val="accent5"/>
            </a:solidFill>
            <a:ln cmpd="sng">
              <a:noFill/>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Detail'!$F$4:$F$17</c:f>
              <c:numCache>
                <c:formatCode>_(\$* #,##0_);_(\$* \(#,##0\);_(\$* "-"??_);_(@_)</c:formatCode>
                <c:ptCount val="14"/>
                <c:pt idx="0" formatCode="General">
                  <c:v>0</c:v>
                </c:pt>
                <c:pt idx="1">
                  <c:v>630.79999999999995</c:v>
                </c:pt>
                <c:pt idx="2">
                  <c:v>530.1</c:v>
                </c:pt>
                <c:pt idx="3">
                  <c:v>935.71</c:v>
                </c:pt>
                <c:pt idx="4">
                  <c:v>154.06</c:v>
                </c:pt>
                <c:pt idx="5">
                  <c:v>677.24</c:v>
                </c:pt>
                <c:pt idx="6">
                  <c:v>104.8</c:v>
                </c:pt>
                <c:pt idx="7">
                  <c:v>335.47</c:v>
                </c:pt>
                <c:pt idx="8">
                  <c:v>12.1</c:v>
                </c:pt>
                <c:pt idx="9">
                  <c:v>389.01</c:v>
                </c:pt>
                <c:pt idx="10">
                  <c:v>688.51</c:v>
                </c:pt>
                <c:pt idx="11">
                  <c:v>75</c:v>
                </c:pt>
                <c:pt idx="12">
                  <c:v>600</c:v>
                </c:pt>
                <c:pt idx="13">
                  <c:v>3985.28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4-996A-462F-8920-DB97B3C65F8F}"/>
            </c:ext>
          </c:extLst>
        </c:ser>
        <c:ser>
          <c:idx val="5"/>
          <c:order val="5"/>
          <c:spPr>
            <a:solidFill>
              <a:schemeClr val="accent6"/>
            </a:solidFill>
            <a:ln cmpd="sng">
              <a:noFill/>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Detail'!$G$4:$G$17</c:f>
              <c:numCache>
                <c:formatCode>_(\$* #,##0_);_(\$* \(#,##0\);_(\$* "-"??_);_(@_)</c:formatCode>
                <c:ptCount val="14"/>
                <c:pt idx="0" formatCode="General">
                  <c:v>0</c:v>
                </c:pt>
                <c:pt idx="1">
                  <c:v>146.28</c:v>
                </c:pt>
                <c:pt idx="3">
                  <c:v>74.960000000000008</c:v>
                </c:pt>
                <c:pt idx="4">
                  <c:v>6.69</c:v>
                </c:pt>
                <c:pt idx="5">
                  <c:v>295.64999999999998</c:v>
                </c:pt>
                <c:pt idx="7">
                  <c:v>100</c:v>
                </c:pt>
                <c:pt idx="8">
                  <c:v>3.79</c:v>
                </c:pt>
                <c:pt idx="9">
                  <c:v>123.82</c:v>
                </c:pt>
                <c:pt idx="10">
                  <c:v>157.93</c:v>
                </c:pt>
                <c:pt idx="11">
                  <c:v>65</c:v>
                </c:pt>
                <c:pt idx="13">
                  <c:v>-2.2199999999999989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prstDash val="solid"/>
                  </a:ln>
                </c14:spPr>
              </c14:invertSolidFillFmt>
            </c:ext>
            <c:ext xmlns:c16="http://schemas.microsoft.com/office/drawing/2014/chart" uri="{C3380CC4-5D6E-409C-BE32-E72D297353CC}">
              <c16:uniqueId val="{00000005-996A-462F-8920-DB97B3C65F8F}"/>
            </c:ext>
          </c:extLst>
        </c:ser>
        <c:ser>
          <c:idx val="6"/>
          <c:order val="6"/>
          <c:spPr>
            <a:ln>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Detail'!$H$4:$H$17</c:f>
              <c:numCache>
                <c:formatCode>_(\$* #,##0_);_(\$* \(#,##0\);_(\$* "-"??_);_(@_)</c:formatCode>
                <c:ptCount val="14"/>
                <c:pt idx="0" formatCode="General">
                  <c:v>0</c:v>
                </c:pt>
              </c:numCache>
            </c:numRef>
          </c:val>
          <c:extLst>
            <c:ext xmlns:c16="http://schemas.microsoft.com/office/drawing/2014/chart" uri="{C3380CC4-5D6E-409C-BE32-E72D297353CC}">
              <c16:uniqueId val="{00000006-996A-462F-8920-DB97B3C65F8F}"/>
            </c:ext>
          </c:extLst>
        </c:ser>
        <c:ser>
          <c:idx val="7"/>
          <c:order val="7"/>
          <c:spPr>
            <a:ln>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Detail'!$I$4:$I$17</c:f>
              <c:numCache>
                <c:formatCode>_(\$* #,##0_);_(\$* \(#,##0\);_(\$* "-"??_);_(@_)</c:formatCode>
                <c:ptCount val="14"/>
                <c:pt idx="0" formatCode="General">
                  <c:v>0</c:v>
                </c:pt>
              </c:numCache>
            </c:numRef>
          </c:val>
          <c:extLst>
            <c:ext xmlns:c16="http://schemas.microsoft.com/office/drawing/2014/chart" uri="{C3380CC4-5D6E-409C-BE32-E72D297353CC}">
              <c16:uniqueId val="{00000007-996A-462F-8920-DB97B3C65F8F}"/>
            </c:ext>
          </c:extLst>
        </c:ser>
        <c:ser>
          <c:idx val="8"/>
          <c:order val="8"/>
          <c:spPr>
            <a:ln>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Detail'!$J$4:$J$17</c:f>
              <c:numCache>
                <c:formatCode>_(\$* #,##0_);_(\$* \(#,##0\);_(\$* "-"??_);_(@_)</c:formatCode>
                <c:ptCount val="14"/>
                <c:pt idx="0" formatCode="General">
                  <c:v>0</c:v>
                </c:pt>
              </c:numCache>
            </c:numRef>
          </c:val>
          <c:extLst>
            <c:ext xmlns:c16="http://schemas.microsoft.com/office/drawing/2014/chart" uri="{C3380CC4-5D6E-409C-BE32-E72D297353CC}">
              <c16:uniqueId val="{00000008-996A-462F-8920-DB97B3C65F8F}"/>
            </c:ext>
          </c:extLst>
        </c:ser>
        <c:ser>
          <c:idx val="9"/>
          <c:order val="9"/>
          <c:spPr>
            <a:ln>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Detail'!$K$4:$K$17</c:f>
              <c:numCache>
                <c:formatCode>_(\$* #,##0_);_(\$* \(#,##0\);_(\$* "-"??_);_(@_)</c:formatCode>
                <c:ptCount val="14"/>
                <c:pt idx="0" formatCode="General">
                  <c:v>0</c:v>
                </c:pt>
              </c:numCache>
            </c:numRef>
          </c:val>
          <c:extLst>
            <c:ext xmlns:c16="http://schemas.microsoft.com/office/drawing/2014/chart" uri="{C3380CC4-5D6E-409C-BE32-E72D297353CC}">
              <c16:uniqueId val="{00000009-996A-462F-8920-DB97B3C65F8F}"/>
            </c:ext>
          </c:extLst>
        </c:ser>
        <c:ser>
          <c:idx val="10"/>
          <c:order val="10"/>
          <c:spPr>
            <a:ln>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Detail'!$L$4:$L$17</c:f>
              <c:numCache>
                <c:formatCode>_(\$* #,##0_);_(\$* \(#,##0\);_(\$* "-"??_);_(@_)</c:formatCode>
                <c:ptCount val="14"/>
                <c:pt idx="0" formatCode="General">
                  <c:v>0</c:v>
                </c:pt>
              </c:numCache>
            </c:numRef>
          </c:val>
          <c:extLst>
            <c:ext xmlns:c16="http://schemas.microsoft.com/office/drawing/2014/chart" uri="{C3380CC4-5D6E-409C-BE32-E72D297353CC}">
              <c16:uniqueId val="{0000000A-996A-462F-8920-DB97B3C65F8F}"/>
            </c:ext>
          </c:extLst>
        </c:ser>
        <c:ser>
          <c:idx val="11"/>
          <c:order val="11"/>
          <c:spPr>
            <a:ln>
              <a:prstDash val="solid"/>
            </a:ln>
          </c:spPr>
          <c:invertIfNegative val="1"/>
          <c:cat>
            <c:strRef>
              <c:f>'CC Detail'!$A$4:$A$17</c:f>
              <c:strCache>
                <c:ptCount val="14"/>
                <c:pt idx="0">
                  <c:v>Category</c:v>
                </c:pt>
                <c:pt idx="1">
                  <c:v>Groceries</c:v>
                </c:pt>
                <c:pt idx="2">
                  <c:v>Gas / Vehicle</c:v>
                </c:pt>
                <c:pt idx="3">
                  <c:v>Dining out</c:v>
                </c:pt>
                <c:pt idx="4">
                  <c:v>Subscriptions</c:v>
                </c:pt>
                <c:pt idx="5">
                  <c:v>Kids / Activities</c:v>
                </c:pt>
                <c:pt idx="6">
                  <c:v>Travel</c:v>
                </c:pt>
                <c:pt idx="7">
                  <c:v>Personal Care</c:v>
                </c:pt>
                <c:pt idx="8">
                  <c:v>Pharmacy / Health</c:v>
                </c:pt>
                <c:pt idx="9">
                  <c:v>Home / Hardware</c:v>
                </c:pt>
                <c:pt idx="10">
                  <c:v>Amazon (misc)</c:v>
                </c:pt>
                <c:pt idx="11">
                  <c:v>Landscaping</c:v>
                </c:pt>
                <c:pt idx="12">
                  <c:v>Cash / allowances</c:v>
                </c:pt>
                <c:pt idx="13">
                  <c:v>Other / misc</c:v>
                </c:pt>
              </c:strCache>
            </c:strRef>
          </c:cat>
          <c:val>
            <c:numRef>
              <c:f>'CC Detail'!$M$4:$M$17</c:f>
              <c:numCache>
                <c:formatCode>_(\$* #,##0_);_(\$* \(#,##0\);_(\$* "-"??_);_(@_)</c:formatCode>
                <c:ptCount val="14"/>
                <c:pt idx="0" formatCode="General">
                  <c:v>0</c:v>
                </c:pt>
              </c:numCache>
            </c:numRef>
          </c:val>
          <c:extLst>
            <c:ext xmlns:c16="http://schemas.microsoft.com/office/drawing/2014/chart" uri="{C3380CC4-5D6E-409C-BE32-E72D297353CC}">
              <c16:uniqueId val="{0000000B-996A-462F-8920-DB97B3C65F8F}"/>
            </c:ext>
          </c:extLst>
        </c:ser>
        <c:dLbls>
          <c:showLegendKey val="0"/>
          <c:showVal val="0"/>
          <c:showCatName val="0"/>
          <c:showSerName val="0"/>
          <c:showPercent val="0"/>
          <c:showBubbleSize val="0"/>
        </c:dLbls>
        <c:gapWidth val="150"/>
        <c:overlap val="100"/>
        <c:axId val="885572012"/>
        <c:axId val="783882657"/>
      </c:barChart>
      <c:catAx>
        <c:axId val="885572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783882657"/>
        <c:crosses val="autoZero"/>
        <c:auto val="1"/>
        <c:lblAlgn val="ctr"/>
        <c:lblOffset val="100"/>
        <c:noMultiLvlLbl val="1"/>
      </c:catAx>
      <c:valAx>
        <c:axId val="783882657"/>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88557201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Solar Payback</a:t>
            </a:r>
          </a:p>
        </c:rich>
      </c:tx>
      <c:overlay val="0"/>
    </c:title>
    <c:autoTitleDeleted val="0"/>
    <c:plotArea>
      <c:layout/>
      <c:lineChart>
        <c:grouping val="standard"/>
        <c:varyColors val="1"/>
        <c:ser>
          <c:idx val="0"/>
          <c:order val="0"/>
          <c:spPr>
            <a:ln cmpd="sng">
              <a:solidFill>
                <a:srgbClr val="4F81BD"/>
              </a:solidFill>
              <a:prstDash val="solid"/>
            </a:ln>
          </c:spPr>
          <c:marker>
            <c:symbol val="none"/>
          </c:marker>
          <c:cat>
            <c:strRef>
              <c:f>Charts!$A$29:$A$31</c:f>
              <c:strCache>
                <c:ptCount val="3"/>
                <c:pt idx="0">
                  <c:v>Month</c:v>
                </c:pt>
                <c:pt idx="1">
                  <c:v>Cumulative savings</c:v>
                </c:pt>
                <c:pt idx="2">
                  <c:v>Net capital cost (reference)</c:v>
                </c:pt>
              </c:strCache>
            </c:strRef>
          </c:cat>
          <c:val>
            <c:numRef>
              <c:f>Charts!$B$29:$B$31</c:f>
              <c:numCache>
                <c:formatCode>_(\$* #,##0_);_(\$* \(#,##0\);_(\$* "-"??_);_(@_)</c:formatCode>
                <c:ptCount val="3"/>
                <c:pt idx="0" formatCode="General">
                  <c:v>0</c:v>
                </c:pt>
                <c:pt idx="1">
                  <c:v>0</c:v>
                </c:pt>
                <c:pt idx="2">
                  <c:v>33318</c:v>
                </c:pt>
              </c:numCache>
            </c:numRef>
          </c:val>
          <c:smooth val="0"/>
          <c:extLst>
            <c:ext xmlns:c16="http://schemas.microsoft.com/office/drawing/2014/chart" uri="{C3380CC4-5D6E-409C-BE32-E72D297353CC}">
              <c16:uniqueId val="{00000000-3330-41E3-A121-86D64844D1C7}"/>
            </c:ext>
          </c:extLst>
        </c:ser>
        <c:ser>
          <c:idx val="1"/>
          <c:order val="1"/>
          <c:spPr>
            <a:ln cmpd="sng">
              <a:solidFill>
                <a:srgbClr val="C0504D"/>
              </a:solidFill>
              <a:prstDash val="solid"/>
            </a:ln>
          </c:spPr>
          <c:marker>
            <c:symbol val="none"/>
          </c:marker>
          <c:cat>
            <c:strRef>
              <c:f>Charts!$A$29:$A$31</c:f>
              <c:strCache>
                <c:ptCount val="3"/>
                <c:pt idx="0">
                  <c:v>Month</c:v>
                </c:pt>
                <c:pt idx="1">
                  <c:v>Cumulative savings</c:v>
                </c:pt>
                <c:pt idx="2">
                  <c:v>Net capital cost (reference)</c:v>
                </c:pt>
              </c:strCache>
            </c:strRef>
          </c:cat>
          <c:val>
            <c:numRef>
              <c:f>Charts!$C$29:$C$31</c:f>
              <c:numCache>
                <c:formatCode>_(\$* #,##0_);_(\$* \(#,##0\);_(\$* "-"??_);_(@_)</c:formatCode>
                <c:ptCount val="3"/>
                <c:pt idx="0" formatCode="General">
                  <c:v>0</c:v>
                </c:pt>
                <c:pt idx="1">
                  <c:v>0</c:v>
                </c:pt>
                <c:pt idx="2">
                  <c:v>33318</c:v>
                </c:pt>
              </c:numCache>
            </c:numRef>
          </c:val>
          <c:smooth val="0"/>
          <c:extLst>
            <c:ext xmlns:c16="http://schemas.microsoft.com/office/drawing/2014/chart" uri="{C3380CC4-5D6E-409C-BE32-E72D297353CC}">
              <c16:uniqueId val="{00000001-3330-41E3-A121-86D64844D1C7}"/>
            </c:ext>
          </c:extLst>
        </c:ser>
        <c:ser>
          <c:idx val="2"/>
          <c:order val="2"/>
          <c:spPr>
            <a:ln cmpd="sng">
              <a:solidFill>
                <a:srgbClr val="9BBB59"/>
              </a:solidFill>
              <a:prstDash val="solid"/>
            </a:ln>
          </c:spPr>
          <c:marker>
            <c:symbol val="none"/>
          </c:marker>
          <c:cat>
            <c:strRef>
              <c:f>Charts!$A$29:$A$31</c:f>
              <c:strCache>
                <c:ptCount val="3"/>
                <c:pt idx="0">
                  <c:v>Month</c:v>
                </c:pt>
                <c:pt idx="1">
                  <c:v>Cumulative savings</c:v>
                </c:pt>
                <c:pt idx="2">
                  <c:v>Net capital cost (reference)</c:v>
                </c:pt>
              </c:strCache>
            </c:strRef>
          </c:cat>
          <c:val>
            <c:numRef>
              <c:f>Charts!$D$29:$D$31</c:f>
              <c:numCache>
                <c:formatCode>_(\$* #,##0_);_(\$* \(#,##0\);_(\$* "-"??_);_(@_)</c:formatCode>
                <c:ptCount val="3"/>
                <c:pt idx="0" formatCode="General">
                  <c:v>0</c:v>
                </c:pt>
                <c:pt idx="1">
                  <c:v>0</c:v>
                </c:pt>
                <c:pt idx="2">
                  <c:v>33318</c:v>
                </c:pt>
              </c:numCache>
            </c:numRef>
          </c:val>
          <c:smooth val="0"/>
          <c:extLst>
            <c:ext xmlns:c16="http://schemas.microsoft.com/office/drawing/2014/chart" uri="{C3380CC4-5D6E-409C-BE32-E72D297353CC}">
              <c16:uniqueId val="{00000002-3330-41E3-A121-86D64844D1C7}"/>
            </c:ext>
          </c:extLst>
        </c:ser>
        <c:ser>
          <c:idx val="3"/>
          <c:order val="3"/>
          <c:spPr>
            <a:ln cmpd="sng">
              <a:solidFill>
                <a:srgbClr val="8064A2"/>
              </a:solidFill>
              <a:prstDash val="solid"/>
            </a:ln>
          </c:spPr>
          <c:marker>
            <c:symbol val="none"/>
          </c:marker>
          <c:cat>
            <c:strRef>
              <c:f>Charts!$A$29:$A$31</c:f>
              <c:strCache>
                <c:ptCount val="3"/>
                <c:pt idx="0">
                  <c:v>Month</c:v>
                </c:pt>
                <c:pt idx="1">
                  <c:v>Cumulative savings</c:v>
                </c:pt>
                <c:pt idx="2">
                  <c:v>Net capital cost (reference)</c:v>
                </c:pt>
              </c:strCache>
            </c:strRef>
          </c:cat>
          <c:val>
            <c:numRef>
              <c:f>Charts!$E$29:$E$31</c:f>
              <c:numCache>
                <c:formatCode>_(\$* #,##0_);_(\$* \(#,##0\);_(\$* "-"??_);_(@_)</c:formatCode>
                <c:ptCount val="3"/>
                <c:pt idx="0" formatCode="General">
                  <c:v>0</c:v>
                </c:pt>
                <c:pt idx="1">
                  <c:v>0</c:v>
                </c:pt>
                <c:pt idx="2">
                  <c:v>33318</c:v>
                </c:pt>
              </c:numCache>
            </c:numRef>
          </c:val>
          <c:smooth val="0"/>
          <c:extLst>
            <c:ext xmlns:c16="http://schemas.microsoft.com/office/drawing/2014/chart" uri="{C3380CC4-5D6E-409C-BE32-E72D297353CC}">
              <c16:uniqueId val="{00000003-3330-41E3-A121-86D64844D1C7}"/>
            </c:ext>
          </c:extLst>
        </c:ser>
        <c:ser>
          <c:idx val="4"/>
          <c:order val="4"/>
          <c:spPr>
            <a:ln cmpd="sng">
              <a:solidFill>
                <a:srgbClr val="4BACC6"/>
              </a:solidFill>
              <a:prstDash val="solid"/>
            </a:ln>
          </c:spPr>
          <c:marker>
            <c:symbol val="none"/>
          </c:marker>
          <c:cat>
            <c:strRef>
              <c:f>Charts!$A$29:$A$31</c:f>
              <c:strCache>
                <c:ptCount val="3"/>
                <c:pt idx="0">
                  <c:v>Month</c:v>
                </c:pt>
                <c:pt idx="1">
                  <c:v>Cumulative savings</c:v>
                </c:pt>
                <c:pt idx="2">
                  <c:v>Net capital cost (reference)</c:v>
                </c:pt>
              </c:strCache>
            </c:strRef>
          </c:cat>
          <c:val>
            <c:numRef>
              <c:f>Charts!$F$29:$F$31</c:f>
              <c:numCache>
                <c:formatCode>_(\$* #,##0_);_(\$* \(#,##0\);_(\$* "-"??_);_(@_)</c:formatCode>
                <c:ptCount val="3"/>
                <c:pt idx="0" formatCode="General">
                  <c:v>0</c:v>
                </c:pt>
                <c:pt idx="1">
                  <c:v>0</c:v>
                </c:pt>
                <c:pt idx="2">
                  <c:v>33318</c:v>
                </c:pt>
              </c:numCache>
            </c:numRef>
          </c:val>
          <c:smooth val="0"/>
          <c:extLst>
            <c:ext xmlns:c16="http://schemas.microsoft.com/office/drawing/2014/chart" uri="{C3380CC4-5D6E-409C-BE32-E72D297353CC}">
              <c16:uniqueId val="{00000004-3330-41E3-A121-86D64844D1C7}"/>
            </c:ext>
          </c:extLst>
        </c:ser>
        <c:ser>
          <c:idx val="5"/>
          <c:order val="5"/>
          <c:spPr>
            <a:ln cmpd="sng">
              <a:solidFill>
                <a:srgbClr val="F79646"/>
              </a:solidFill>
              <a:prstDash val="solid"/>
            </a:ln>
          </c:spPr>
          <c:marker>
            <c:symbol val="none"/>
          </c:marker>
          <c:cat>
            <c:strRef>
              <c:f>Charts!$A$29:$A$31</c:f>
              <c:strCache>
                <c:ptCount val="3"/>
                <c:pt idx="0">
                  <c:v>Month</c:v>
                </c:pt>
                <c:pt idx="1">
                  <c:v>Cumulative savings</c:v>
                </c:pt>
                <c:pt idx="2">
                  <c:v>Net capital cost (reference)</c:v>
                </c:pt>
              </c:strCache>
            </c:strRef>
          </c:cat>
          <c:val>
            <c:numRef>
              <c:f>Charts!$G$29:$G$31</c:f>
              <c:numCache>
                <c:formatCode>_(\$* #,##0_);_(\$* \(#,##0\);_(\$* "-"??_);_(@_)</c:formatCode>
                <c:ptCount val="3"/>
                <c:pt idx="0" formatCode="General">
                  <c:v>0</c:v>
                </c:pt>
                <c:pt idx="1">
                  <c:v>56</c:v>
                </c:pt>
                <c:pt idx="2">
                  <c:v>33318</c:v>
                </c:pt>
              </c:numCache>
            </c:numRef>
          </c:val>
          <c:smooth val="0"/>
          <c:extLst>
            <c:ext xmlns:c16="http://schemas.microsoft.com/office/drawing/2014/chart" uri="{C3380CC4-5D6E-409C-BE32-E72D297353CC}">
              <c16:uniqueId val="{00000005-3330-41E3-A121-86D64844D1C7}"/>
            </c:ext>
          </c:extLst>
        </c:ser>
        <c:ser>
          <c:idx val="6"/>
          <c:order val="6"/>
          <c:spPr>
            <a:ln cmpd="sng">
              <a:solidFill>
                <a:srgbClr val="84A7D1"/>
              </a:solidFill>
              <a:prstDash val="solid"/>
            </a:ln>
          </c:spPr>
          <c:marker>
            <c:symbol val="none"/>
          </c:marker>
          <c:cat>
            <c:strRef>
              <c:f>Charts!$A$29:$A$31</c:f>
              <c:strCache>
                <c:ptCount val="3"/>
                <c:pt idx="0">
                  <c:v>Month</c:v>
                </c:pt>
                <c:pt idx="1">
                  <c:v>Cumulative savings</c:v>
                </c:pt>
                <c:pt idx="2">
                  <c:v>Net capital cost (reference)</c:v>
                </c:pt>
              </c:strCache>
            </c:strRef>
          </c:cat>
          <c:val>
            <c:numRef>
              <c:f>Charts!$H$29:$H$31</c:f>
              <c:numCache>
                <c:formatCode>_(\$* #,##0_);_(\$* \(#,##0\);_(\$* "-"??_);_(@_)</c:formatCode>
                <c:ptCount val="3"/>
                <c:pt idx="0" formatCode="General">
                  <c:v>0</c:v>
                </c:pt>
                <c:pt idx="1">
                  <c:v>157.88999999999999</c:v>
                </c:pt>
                <c:pt idx="2">
                  <c:v>33318</c:v>
                </c:pt>
              </c:numCache>
            </c:numRef>
          </c:val>
          <c:smooth val="0"/>
          <c:extLst>
            <c:ext xmlns:c16="http://schemas.microsoft.com/office/drawing/2014/chart" uri="{C3380CC4-5D6E-409C-BE32-E72D297353CC}">
              <c16:uniqueId val="{00000006-3330-41E3-A121-86D64844D1C7}"/>
            </c:ext>
          </c:extLst>
        </c:ser>
        <c:ser>
          <c:idx val="7"/>
          <c:order val="7"/>
          <c:spPr>
            <a:ln cmpd="sng">
              <a:solidFill>
                <a:srgbClr val="D38582"/>
              </a:solidFill>
              <a:prstDash val="solid"/>
            </a:ln>
          </c:spPr>
          <c:marker>
            <c:symbol val="none"/>
          </c:marker>
          <c:cat>
            <c:strRef>
              <c:f>Charts!$A$29:$A$31</c:f>
              <c:strCache>
                <c:ptCount val="3"/>
                <c:pt idx="0">
                  <c:v>Month</c:v>
                </c:pt>
                <c:pt idx="1">
                  <c:v>Cumulative savings</c:v>
                </c:pt>
                <c:pt idx="2">
                  <c:v>Net capital cost (reference)</c:v>
                </c:pt>
              </c:strCache>
            </c:strRef>
          </c:cat>
          <c:val>
            <c:numRef>
              <c:f>Charts!$I$29:$I$31</c:f>
              <c:numCache>
                <c:formatCode>_(\$* #,##0_);_(\$* \(#,##0\);_(\$* "-"??_);_(@_)</c:formatCode>
                <c:ptCount val="3"/>
                <c:pt idx="0" formatCode="General">
                  <c:v>0</c:v>
                </c:pt>
                <c:pt idx="1">
                  <c:v>344.54999999999995</c:v>
                </c:pt>
                <c:pt idx="2">
                  <c:v>33318</c:v>
                </c:pt>
              </c:numCache>
            </c:numRef>
          </c:val>
          <c:smooth val="0"/>
          <c:extLst>
            <c:ext xmlns:c16="http://schemas.microsoft.com/office/drawing/2014/chart" uri="{C3380CC4-5D6E-409C-BE32-E72D297353CC}">
              <c16:uniqueId val="{00000007-3330-41E3-A121-86D64844D1C7}"/>
            </c:ext>
          </c:extLst>
        </c:ser>
        <c:ser>
          <c:idx val="8"/>
          <c:order val="8"/>
          <c:spPr>
            <a:ln cmpd="sng">
              <a:solidFill>
                <a:srgbClr val="B9CF8B"/>
              </a:solidFill>
              <a:prstDash val="solid"/>
            </a:ln>
          </c:spPr>
          <c:marker>
            <c:symbol val="none"/>
          </c:marker>
          <c:cat>
            <c:strRef>
              <c:f>Charts!$A$29:$A$31</c:f>
              <c:strCache>
                <c:ptCount val="3"/>
                <c:pt idx="0">
                  <c:v>Month</c:v>
                </c:pt>
                <c:pt idx="1">
                  <c:v>Cumulative savings</c:v>
                </c:pt>
                <c:pt idx="2">
                  <c:v>Net capital cost (reference)</c:v>
                </c:pt>
              </c:strCache>
            </c:strRef>
          </c:cat>
          <c:val>
            <c:numRef>
              <c:f>Charts!$J$29:$J$31</c:f>
              <c:numCache>
                <c:formatCode>_(\$* #,##0_);_(\$* \(#,##0\);_(\$* "-"??_);_(@_)</c:formatCode>
                <c:ptCount val="3"/>
                <c:pt idx="0" formatCode="General">
                  <c:v>0</c:v>
                </c:pt>
                <c:pt idx="1">
                  <c:v>344.54999999999995</c:v>
                </c:pt>
                <c:pt idx="2">
                  <c:v>33318</c:v>
                </c:pt>
              </c:numCache>
            </c:numRef>
          </c:val>
          <c:smooth val="0"/>
          <c:extLst>
            <c:ext xmlns:c16="http://schemas.microsoft.com/office/drawing/2014/chart" uri="{C3380CC4-5D6E-409C-BE32-E72D297353CC}">
              <c16:uniqueId val="{00000008-3330-41E3-A121-86D64844D1C7}"/>
            </c:ext>
          </c:extLst>
        </c:ser>
        <c:ser>
          <c:idx val="9"/>
          <c:order val="9"/>
          <c:spPr>
            <a:ln cmpd="sng">
              <a:solidFill>
                <a:srgbClr val="A693BE"/>
              </a:solidFill>
              <a:prstDash val="solid"/>
            </a:ln>
          </c:spPr>
          <c:marker>
            <c:symbol val="none"/>
          </c:marker>
          <c:cat>
            <c:strRef>
              <c:f>Charts!$A$29:$A$31</c:f>
              <c:strCache>
                <c:ptCount val="3"/>
                <c:pt idx="0">
                  <c:v>Month</c:v>
                </c:pt>
                <c:pt idx="1">
                  <c:v>Cumulative savings</c:v>
                </c:pt>
                <c:pt idx="2">
                  <c:v>Net capital cost (reference)</c:v>
                </c:pt>
              </c:strCache>
            </c:strRef>
          </c:cat>
          <c:val>
            <c:numRef>
              <c:f>Charts!$K$29:$K$31</c:f>
              <c:numCache>
                <c:formatCode>_(\$* #,##0_);_(\$* \(#,##0\);_(\$* "-"??_);_(@_)</c:formatCode>
                <c:ptCount val="3"/>
                <c:pt idx="0" formatCode="General">
                  <c:v>0</c:v>
                </c:pt>
                <c:pt idx="1">
                  <c:v>344.54999999999995</c:v>
                </c:pt>
                <c:pt idx="2">
                  <c:v>33318</c:v>
                </c:pt>
              </c:numCache>
            </c:numRef>
          </c:val>
          <c:smooth val="0"/>
          <c:extLst>
            <c:ext xmlns:c16="http://schemas.microsoft.com/office/drawing/2014/chart" uri="{C3380CC4-5D6E-409C-BE32-E72D297353CC}">
              <c16:uniqueId val="{00000009-3330-41E3-A121-86D64844D1C7}"/>
            </c:ext>
          </c:extLst>
        </c:ser>
        <c:ser>
          <c:idx val="10"/>
          <c:order val="10"/>
          <c:spPr>
            <a:ln cmpd="sng">
              <a:solidFill>
                <a:srgbClr val="81C5D7"/>
              </a:solidFill>
              <a:prstDash val="solid"/>
            </a:ln>
          </c:spPr>
          <c:marker>
            <c:symbol val="none"/>
          </c:marker>
          <c:cat>
            <c:strRef>
              <c:f>Charts!$A$29:$A$31</c:f>
              <c:strCache>
                <c:ptCount val="3"/>
                <c:pt idx="0">
                  <c:v>Month</c:v>
                </c:pt>
                <c:pt idx="1">
                  <c:v>Cumulative savings</c:v>
                </c:pt>
                <c:pt idx="2">
                  <c:v>Net capital cost (reference)</c:v>
                </c:pt>
              </c:strCache>
            </c:strRef>
          </c:cat>
          <c:val>
            <c:numRef>
              <c:f>Charts!$L$29:$L$31</c:f>
              <c:numCache>
                <c:formatCode>_(\$* #,##0_);_(\$* \(#,##0\);_(\$* "-"??_);_(@_)</c:formatCode>
                <c:ptCount val="3"/>
                <c:pt idx="0" formatCode="General">
                  <c:v>0</c:v>
                </c:pt>
                <c:pt idx="1">
                  <c:v>344.54999999999995</c:v>
                </c:pt>
                <c:pt idx="2">
                  <c:v>33318</c:v>
                </c:pt>
              </c:numCache>
            </c:numRef>
          </c:val>
          <c:smooth val="0"/>
          <c:extLst>
            <c:ext xmlns:c16="http://schemas.microsoft.com/office/drawing/2014/chart" uri="{C3380CC4-5D6E-409C-BE32-E72D297353CC}">
              <c16:uniqueId val="{0000000A-3330-41E3-A121-86D64844D1C7}"/>
            </c:ext>
          </c:extLst>
        </c:ser>
        <c:ser>
          <c:idx val="11"/>
          <c:order val="11"/>
          <c:spPr>
            <a:ln cmpd="sng">
              <a:solidFill>
                <a:srgbClr val="F9B67E"/>
              </a:solidFill>
              <a:prstDash val="solid"/>
            </a:ln>
          </c:spPr>
          <c:marker>
            <c:symbol val="none"/>
          </c:marker>
          <c:cat>
            <c:strRef>
              <c:f>Charts!$A$29:$A$31</c:f>
              <c:strCache>
                <c:ptCount val="3"/>
                <c:pt idx="0">
                  <c:v>Month</c:v>
                </c:pt>
                <c:pt idx="1">
                  <c:v>Cumulative savings</c:v>
                </c:pt>
                <c:pt idx="2">
                  <c:v>Net capital cost (reference)</c:v>
                </c:pt>
              </c:strCache>
            </c:strRef>
          </c:cat>
          <c:val>
            <c:numRef>
              <c:f>Charts!$M$29:$M$31</c:f>
              <c:numCache>
                <c:formatCode>_(\$* #,##0_);_(\$* \(#,##0\);_(\$* "-"??_);_(@_)</c:formatCode>
                <c:ptCount val="3"/>
                <c:pt idx="0" formatCode="General">
                  <c:v>0</c:v>
                </c:pt>
                <c:pt idx="1">
                  <c:v>344.54999999999995</c:v>
                </c:pt>
                <c:pt idx="2">
                  <c:v>33318</c:v>
                </c:pt>
              </c:numCache>
            </c:numRef>
          </c:val>
          <c:smooth val="0"/>
          <c:extLst>
            <c:ext xmlns:c16="http://schemas.microsoft.com/office/drawing/2014/chart" uri="{C3380CC4-5D6E-409C-BE32-E72D297353CC}">
              <c16:uniqueId val="{0000000B-3330-41E3-A121-86D64844D1C7}"/>
            </c:ext>
          </c:extLst>
        </c:ser>
        <c:dLbls>
          <c:showLegendKey val="0"/>
          <c:showVal val="0"/>
          <c:showCatName val="0"/>
          <c:showSerName val="0"/>
          <c:showPercent val="0"/>
          <c:showBubbleSize val="0"/>
        </c:dLbls>
        <c:smooth val="0"/>
        <c:axId val="1982504912"/>
        <c:axId val="1240912482"/>
      </c:lineChart>
      <c:catAx>
        <c:axId val="19825049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1240912482"/>
        <c:crosses val="autoZero"/>
        <c:auto val="1"/>
        <c:lblAlgn val="ctr"/>
        <c:lblOffset val="100"/>
        <c:noMultiLvlLbl val="1"/>
      </c:catAx>
      <c:valAx>
        <c:axId val="1240912482"/>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1982504912"/>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Net Worth Trend</a:t>
            </a:r>
          </a:p>
        </c:rich>
      </c:tx>
      <c:overlay val="0"/>
    </c:title>
    <c:autoTitleDeleted val="0"/>
    <c:plotArea>
      <c:layout/>
      <c:lineChart>
        <c:grouping val="standard"/>
        <c:varyColors val="1"/>
        <c:ser>
          <c:idx val="0"/>
          <c:order val="0"/>
          <c:spPr>
            <a:ln cmpd="sng">
              <a:solidFill>
                <a:srgbClr val="4F81BD"/>
              </a:solidFill>
              <a:prstDash val="solid"/>
            </a:ln>
          </c:spPr>
          <c:marker>
            <c:symbol val="none"/>
          </c:marker>
          <c:cat>
            <c:strRef>
              <c:f>Charts!$A$46:$A$47</c:f>
              <c:strCache>
                <c:ptCount val="2"/>
                <c:pt idx="0">
                  <c:v>Month</c:v>
                </c:pt>
                <c:pt idx="1">
                  <c:v>Total assets</c:v>
                </c:pt>
              </c:strCache>
            </c:strRef>
          </c:cat>
          <c:val>
            <c:numRef>
              <c:f>Charts!$B$46:$B$47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0-C797-4DC2-8D9D-1B0CA48BC795}"/>
            </c:ext>
          </c:extLst>
        </c:ser>
        <c:ser>
          <c:idx val="1"/>
          <c:order val="1"/>
          <c:spPr>
            <a:ln cmpd="sng">
              <a:solidFill>
                <a:srgbClr val="C0504D"/>
              </a:solidFill>
              <a:prstDash val="solid"/>
            </a:ln>
          </c:spPr>
          <c:marker>
            <c:symbol val="none"/>
          </c:marker>
          <c:cat>
            <c:strRef>
              <c:f>Charts!$A$46:$A$47</c:f>
              <c:strCache>
                <c:ptCount val="2"/>
                <c:pt idx="0">
                  <c:v>Month</c:v>
                </c:pt>
                <c:pt idx="1">
                  <c:v>Total assets</c:v>
                </c:pt>
              </c:strCache>
            </c:strRef>
          </c:cat>
          <c:val>
            <c:numRef>
              <c:f>Charts!$C$46:$C$47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1-C797-4DC2-8D9D-1B0CA48BC795}"/>
            </c:ext>
          </c:extLst>
        </c:ser>
        <c:ser>
          <c:idx val="2"/>
          <c:order val="2"/>
          <c:spPr>
            <a:ln cmpd="sng">
              <a:solidFill>
                <a:srgbClr val="9BBB59"/>
              </a:solidFill>
              <a:prstDash val="solid"/>
            </a:ln>
          </c:spPr>
          <c:marker>
            <c:symbol val="none"/>
          </c:marker>
          <c:cat>
            <c:strRef>
              <c:f>Charts!$A$46:$A$47</c:f>
              <c:strCache>
                <c:ptCount val="2"/>
                <c:pt idx="0">
                  <c:v>Month</c:v>
                </c:pt>
                <c:pt idx="1">
                  <c:v>Total assets</c:v>
                </c:pt>
              </c:strCache>
            </c:strRef>
          </c:cat>
          <c:val>
            <c:numRef>
              <c:f>Charts!$D$46:$D$47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2-C797-4DC2-8D9D-1B0CA48BC795}"/>
            </c:ext>
          </c:extLst>
        </c:ser>
        <c:ser>
          <c:idx val="3"/>
          <c:order val="3"/>
          <c:spPr>
            <a:ln cmpd="sng">
              <a:solidFill>
                <a:srgbClr val="8064A2"/>
              </a:solidFill>
              <a:prstDash val="solid"/>
            </a:ln>
          </c:spPr>
          <c:marker>
            <c:symbol val="none"/>
          </c:marker>
          <c:cat>
            <c:strRef>
              <c:f>Charts!$A$46:$A$47</c:f>
              <c:strCache>
                <c:ptCount val="2"/>
                <c:pt idx="0">
                  <c:v>Month</c:v>
                </c:pt>
                <c:pt idx="1">
                  <c:v>Total assets</c:v>
                </c:pt>
              </c:strCache>
            </c:strRef>
          </c:cat>
          <c:val>
            <c:numRef>
              <c:f>Charts!$E$46:$E$47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3-C797-4DC2-8D9D-1B0CA48BC795}"/>
            </c:ext>
          </c:extLst>
        </c:ser>
        <c:ser>
          <c:idx val="4"/>
          <c:order val="4"/>
          <c:spPr>
            <a:ln cmpd="sng">
              <a:solidFill>
                <a:srgbClr val="4BACC6"/>
              </a:solidFill>
              <a:prstDash val="solid"/>
            </a:ln>
          </c:spPr>
          <c:marker>
            <c:symbol val="none"/>
          </c:marker>
          <c:cat>
            <c:strRef>
              <c:f>Charts!$A$46:$A$47</c:f>
              <c:strCache>
                <c:ptCount val="2"/>
                <c:pt idx="0">
                  <c:v>Month</c:v>
                </c:pt>
                <c:pt idx="1">
                  <c:v>Total assets</c:v>
                </c:pt>
              </c:strCache>
            </c:strRef>
          </c:cat>
          <c:val>
            <c:numRef>
              <c:f>Charts!$F$46:$F$47</c:f>
              <c:numCache>
                <c:formatCode>_(\$* #,##0_);_(\$* \(#,##0\);_(\$* "-"??_);_(@_)</c:formatCode>
                <c:ptCount val="2"/>
                <c:pt idx="0" formatCode="General">
                  <c:v>0</c:v>
                </c:pt>
                <c:pt idx="1">
                  <c:v>273490.03000000003</c:v>
                </c:pt>
              </c:numCache>
            </c:numRef>
          </c:val>
          <c:smooth val="0"/>
          <c:extLst>
            <c:ext xmlns:c16="http://schemas.microsoft.com/office/drawing/2014/chart" uri="{C3380CC4-5D6E-409C-BE32-E72D297353CC}">
              <c16:uniqueId val="{00000004-C797-4DC2-8D9D-1B0CA48BC795}"/>
            </c:ext>
          </c:extLst>
        </c:ser>
        <c:ser>
          <c:idx val="5"/>
          <c:order val="5"/>
          <c:spPr>
            <a:ln cmpd="sng">
              <a:solidFill>
                <a:srgbClr val="F79646"/>
              </a:solidFill>
              <a:prstDash val="solid"/>
            </a:ln>
          </c:spPr>
          <c:marker>
            <c:symbol val="none"/>
          </c:marker>
          <c:cat>
            <c:strRef>
              <c:f>Charts!$A$46:$A$47</c:f>
              <c:strCache>
                <c:ptCount val="2"/>
                <c:pt idx="0">
                  <c:v>Month</c:v>
                </c:pt>
                <c:pt idx="1">
                  <c:v>Total assets</c:v>
                </c:pt>
              </c:strCache>
            </c:strRef>
          </c:cat>
          <c:val>
            <c:numRef>
              <c:f>Charts!$G$46:$G$47</c:f>
              <c:numCache>
                <c:formatCode>_(\$* #,##0_);_(\$* \(#,##0\);_(\$* "-"??_);_(@_)</c:formatCode>
                <c:ptCount val="2"/>
                <c:pt idx="0" formatCode="General">
                  <c:v>0</c:v>
                </c:pt>
                <c:pt idx="1">
                  <c:v>26</c:v>
                </c:pt>
              </c:numCache>
            </c:numRef>
          </c:val>
          <c:smooth val="0"/>
          <c:extLst>
            <c:ext xmlns:c16="http://schemas.microsoft.com/office/drawing/2014/chart" uri="{C3380CC4-5D6E-409C-BE32-E72D297353CC}">
              <c16:uniqueId val="{00000005-C797-4DC2-8D9D-1B0CA48BC795}"/>
            </c:ext>
          </c:extLst>
        </c:ser>
        <c:ser>
          <c:idx val="6"/>
          <c:order val="6"/>
          <c:spPr>
            <a:ln cmpd="sng">
              <a:solidFill>
                <a:srgbClr val="84A7D1"/>
              </a:solidFill>
              <a:prstDash val="solid"/>
            </a:ln>
          </c:spPr>
          <c:marker>
            <c:symbol val="none"/>
          </c:marker>
          <c:cat>
            <c:strRef>
              <c:f>Charts!$A$46:$A$47</c:f>
              <c:strCache>
                <c:ptCount val="2"/>
                <c:pt idx="0">
                  <c:v>Month</c:v>
                </c:pt>
                <c:pt idx="1">
                  <c:v>Total assets</c:v>
                </c:pt>
              </c:strCache>
            </c:strRef>
          </c:cat>
          <c:val>
            <c:numRef>
              <c:f>Charts!$H$46:$H$47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6-C797-4DC2-8D9D-1B0CA48BC795}"/>
            </c:ext>
          </c:extLst>
        </c:ser>
        <c:ser>
          <c:idx val="7"/>
          <c:order val="7"/>
          <c:spPr>
            <a:ln cmpd="sng">
              <a:solidFill>
                <a:srgbClr val="D38582"/>
              </a:solidFill>
              <a:prstDash val="solid"/>
            </a:ln>
          </c:spPr>
          <c:marker>
            <c:symbol val="none"/>
          </c:marker>
          <c:cat>
            <c:strRef>
              <c:f>Charts!$A$46:$A$47</c:f>
              <c:strCache>
                <c:ptCount val="2"/>
                <c:pt idx="0">
                  <c:v>Month</c:v>
                </c:pt>
                <c:pt idx="1">
                  <c:v>Total assets</c:v>
                </c:pt>
              </c:strCache>
            </c:strRef>
          </c:cat>
          <c:val>
            <c:numRef>
              <c:f>Charts!$I$46:$I$47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7-C797-4DC2-8D9D-1B0CA48BC795}"/>
            </c:ext>
          </c:extLst>
        </c:ser>
        <c:ser>
          <c:idx val="8"/>
          <c:order val="8"/>
          <c:spPr>
            <a:ln cmpd="sng">
              <a:solidFill>
                <a:srgbClr val="B9CF8B"/>
              </a:solidFill>
              <a:prstDash val="solid"/>
            </a:ln>
          </c:spPr>
          <c:marker>
            <c:symbol val="none"/>
          </c:marker>
          <c:cat>
            <c:strRef>
              <c:f>Charts!$A$46:$A$47</c:f>
              <c:strCache>
                <c:ptCount val="2"/>
                <c:pt idx="0">
                  <c:v>Month</c:v>
                </c:pt>
                <c:pt idx="1">
                  <c:v>Total assets</c:v>
                </c:pt>
              </c:strCache>
            </c:strRef>
          </c:cat>
          <c:val>
            <c:numRef>
              <c:f>Charts!$J$46:$J$47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8-C797-4DC2-8D9D-1B0CA48BC795}"/>
            </c:ext>
          </c:extLst>
        </c:ser>
        <c:ser>
          <c:idx val="9"/>
          <c:order val="9"/>
          <c:spPr>
            <a:ln cmpd="sng">
              <a:solidFill>
                <a:srgbClr val="A693BE"/>
              </a:solidFill>
              <a:prstDash val="solid"/>
            </a:ln>
          </c:spPr>
          <c:marker>
            <c:symbol val="none"/>
          </c:marker>
          <c:cat>
            <c:strRef>
              <c:f>Charts!$A$46:$A$47</c:f>
              <c:strCache>
                <c:ptCount val="2"/>
                <c:pt idx="0">
                  <c:v>Month</c:v>
                </c:pt>
                <c:pt idx="1">
                  <c:v>Total assets</c:v>
                </c:pt>
              </c:strCache>
            </c:strRef>
          </c:cat>
          <c:val>
            <c:numRef>
              <c:f>Charts!$K$46:$K$47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9-C797-4DC2-8D9D-1B0CA48BC795}"/>
            </c:ext>
          </c:extLst>
        </c:ser>
        <c:ser>
          <c:idx val="10"/>
          <c:order val="10"/>
          <c:spPr>
            <a:ln cmpd="sng">
              <a:solidFill>
                <a:srgbClr val="81C5D7"/>
              </a:solidFill>
              <a:prstDash val="solid"/>
            </a:ln>
          </c:spPr>
          <c:marker>
            <c:symbol val="none"/>
          </c:marker>
          <c:cat>
            <c:strRef>
              <c:f>Charts!$A$46:$A$47</c:f>
              <c:strCache>
                <c:ptCount val="2"/>
                <c:pt idx="0">
                  <c:v>Month</c:v>
                </c:pt>
                <c:pt idx="1">
                  <c:v>Total assets</c:v>
                </c:pt>
              </c:strCache>
            </c:strRef>
          </c:cat>
          <c:val>
            <c:numRef>
              <c:f>Charts!$L$46:$L$47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A-C797-4DC2-8D9D-1B0CA48BC795}"/>
            </c:ext>
          </c:extLst>
        </c:ser>
        <c:ser>
          <c:idx val="11"/>
          <c:order val="11"/>
          <c:spPr>
            <a:ln cmpd="sng">
              <a:solidFill>
                <a:srgbClr val="F9B67E"/>
              </a:solidFill>
              <a:prstDash val="solid"/>
            </a:ln>
          </c:spPr>
          <c:marker>
            <c:symbol val="none"/>
          </c:marker>
          <c:cat>
            <c:strRef>
              <c:f>Charts!$A$46:$A$47</c:f>
              <c:strCache>
                <c:ptCount val="2"/>
                <c:pt idx="0">
                  <c:v>Month</c:v>
                </c:pt>
                <c:pt idx="1">
                  <c:v>Total assets</c:v>
                </c:pt>
              </c:strCache>
            </c:strRef>
          </c:cat>
          <c:val>
            <c:numRef>
              <c:f>Charts!$M$46:$M$47</c:f>
              <c:numCache>
                <c:formatCode>_(\$* #,##0_);_(\$* \(#,##0\);_(\$* "-"??_);_(@_)</c:formatCode>
                <c:ptCount val="2"/>
                <c:pt idx="0" formatCode="General">
                  <c:v>0</c:v>
                </c:pt>
                <c:pt idx="1">
                  <c:v>0</c:v>
                </c:pt>
              </c:numCache>
            </c:numRef>
          </c:val>
          <c:smooth val="0"/>
          <c:extLst>
            <c:ext xmlns:c16="http://schemas.microsoft.com/office/drawing/2014/chart" uri="{C3380CC4-5D6E-409C-BE32-E72D297353CC}">
              <c16:uniqueId val="{0000000B-C797-4DC2-8D9D-1B0CA48BC795}"/>
            </c:ext>
          </c:extLst>
        </c:ser>
        <c:dLbls>
          <c:showLegendKey val="0"/>
          <c:showVal val="0"/>
          <c:showCatName val="0"/>
          <c:showSerName val="0"/>
          <c:showPercent val="0"/>
          <c:showBubbleSize val="0"/>
        </c:dLbls>
        <c:smooth val="0"/>
        <c:axId val="73091388"/>
        <c:axId val="262281641"/>
      </c:lineChart>
      <c:catAx>
        <c:axId val="730913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262281641"/>
        <c:crosses val="autoZero"/>
        <c:auto val="1"/>
        <c:lblAlgn val="ctr"/>
        <c:lblOffset val="100"/>
        <c:noMultiLvlLbl val="1"/>
      </c:catAx>
      <c:valAx>
        <c:axId val="262281641"/>
        <c:scaling>
          <c:orientation val="minMax"/>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r>
                  <a:rPr b="0">
                    <a:solidFill>
                      <a:srgbClr val="000000"/>
                    </a:solidFill>
                    <a:latin typeface="+mn-lt"/>
                  </a:rPr>
                  <a:t>None</a:t>
                </a:r>
              </a:p>
            </c:rich>
          </c:tx>
          <c:overlay val="0"/>
        </c:title>
        <c:numFmt formatCode="General" sourceLinked="1"/>
        <c:majorTickMark val="none"/>
        <c:minorTickMark val="none"/>
        <c:tickLblPos val="nextTo"/>
        <c:spPr>
          <a:ln>
            <a:noFill/>
            <a:prstDash val="solid"/>
          </a:ln>
        </c:spPr>
        <c:txPr>
          <a:bodyPr/>
          <a:lstStyle/>
          <a:p>
            <a:pPr lvl="0">
              <a:defRPr b="0">
                <a:solidFill>
                  <a:srgbClr val="000000"/>
                </a:solidFill>
                <a:latin typeface="+mn-lt"/>
              </a:defRPr>
            </a:pPr>
            <a:endParaRPr lang="en-US"/>
          </a:p>
        </c:txPr>
        <c:crossAx val="73091388"/>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5715000" cy="3533775"/>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29</xdr:row>
      <xdr:rowOff>0</xdr:rowOff>
    </xdr:from>
    <xdr:ext cx="5715000" cy="3533775"/>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49</xdr:row>
      <xdr:rowOff>0</xdr:rowOff>
    </xdr:from>
    <xdr:ext cx="5715000" cy="3533775"/>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69</xdr:row>
      <xdr:rowOff>0</xdr:rowOff>
    </xdr:from>
    <xdr:ext cx="5715000" cy="3533775"/>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2578125" defaultRowHeight="15" customHeight="1"/>
  <cols>
    <col min="1" max="1" width="100" customWidth="1"/>
    <col min="2" max="2" width="8.42578125" customWidth="1"/>
    <col min="3" max="26" width="8.7109375" customWidth="1"/>
  </cols>
  <sheetData>
    <row r="1" spans="1:1" ht="21">
      <c r="A1" s="1" t="s">
        <v>0</v>
      </c>
    </row>
    <row r="3" spans="1:1">
      <c r="A3" s="2" t="s">
        <v>1</v>
      </c>
    </row>
    <row r="4" spans="1:1">
      <c r="A4" s="2" t="s">
        <v>2</v>
      </c>
    </row>
    <row r="5" spans="1:1">
      <c r="A5" s="2" t="s">
        <v>3</v>
      </c>
    </row>
    <row r="6" spans="1:1">
      <c r="A6" s="2" t="s">
        <v>4</v>
      </c>
    </row>
    <row r="7" spans="1:1">
      <c r="A7" s="2" t="s">
        <v>5</v>
      </c>
    </row>
    <row r="8" spans="1:1">
      <c r="A8" s="2" t="s">
        <v>6</v>
      </c>
    </row>
    <row r="9" spans="1:1">
      <c r="A9" s="2" t="s">
        <v>7</v>
      </c>
    </row>
    <row r="10" spans="1:1">
      <c r="A10" s="2" t="s">
        <v>8</v>
      </c>
    </row>
    <row r="11" spans="1:1">
      <c r="A11" s="2" t="s">
        <v>9</v>
      </c>
    </row>
    <row r="12" spans="1:1">
      <c r="A12" s="2" t="s">
        <v>10</v>
      </c>
    </row>
    <row r="13" spans="1:1">
      <c r="A13" s="2" t="s">
        <v>11</v>
      </c>
    </row>
    <row r="15" spans="1:1">
      <c r="A15" s="2" t="s">
        <v>12</v>
      </c>
    </row>
    <row r="16" spans="1:1">
      <c r="A16" s="2" t="s">
        <v>13</v>
      </c>
    </row>
    <row r="17" spans="1:1">
      <c r="A17" s="2" t="s">
        <v>14</v>
      </c>
    </row>
    <row r="18" spans="1:1">
      <c r="A18" s="2" t="s">
        <v>15</v>
      </c>
    </row>
    <row r="19" spans="1:1">
      <c r="A19" s="2" t="s">
        <v>16</v>
      </c>
    </row>
    <row r="20" spans="1:1">
      <c r="A20" s="2" t="s">
        <v>17</v>
      </c>
    </row>
    <row r="21" spans="1:1" ht="15.75" customHeight="1">
      <c r="A21" s="2" t="s">
        <v>18</v>
      </c>
    </row>
    <row r="22" spans="1:1" ht="15.75" customHeight="1"/>
    <row r="23" spans="1:1" ht="15.75" customHeight="1">
      <c r="A23" s="2" t="s">
        <v>19</v>
      </c>
    </row>
    <row r="24" spans="1:1" ht="15.75" customHeight="1">
      <c r="A24" s="2" t="s">
        <v>20</v>
      </c>
    </row>
    <row r="25" spans="1:1" ht="15.75" customHeight="1">
      <c r="A25" s="2" t="s">
        <v>21</v>
      </c>
    </row>
    <row r="26" spans="1:1" ht="15.75" customHeight="1">
      <c r="A26" s="2" t="s">
        <v>22</v>
      </c>
    </row>
    <row r="27" spans="1:1" ht="15.75" customHeight="1">
      <c r="A27" s="2" t="s">
        <v>23</v>
      </c>
    </row>
    <row r="28" spans="1:1" ht="15.75" customHeight="1">
      <c r="A28" s="2" t="s">
        <v>24</v>
      </c>
    </row>
    <row r="29" spans="1:1" ht="15.75" customHeight="1">
      <c r="A29" s="2" t="s">
        <v>25</v>
      </c>
    </row>
    <row r="30" spans="1:1" ht="15.75" customHeight="1">
      <c r="A30" s="2" t="s">
        <v>26</v>
      </c>
    </row>
    <row r="31" spans="1:1" ht="15.75" customHeight="1">
      <c r="A31" s="2" t="s">
        <v>27</v>
      </c>
    </row>
    <row r="32" spans="1:1" ht="15.75" customHeight="1">
      <c r="A32" s="2" t="s">
        <v>28</v>
      </c>
    </row>
    <row r="33" spans="1:1" ht="15.75" customHeight="1">
      <c r="A33" s="2" t="s">
        <v>29</v>
      </c>
    </row>
    <row r="34" spans="1:1" ht="15.75" customHeight="1"/>
    <row r="35" spans="1:1" ht="15.75" customHeight="1">
      <c r="A35" s="2" t="s">
        <v>30</v>
      </c>
    </row>
    <row r="36" spans="1:1" ht="15.75" customHeight="1">
      <c r="A36" s="2" t="s">
        <v>31</v>
      </c>
    </row>
    <row r="37" spans="1:1" ht="15.75" customHeight="1">
      <c r="A37" s="2" t="s">
        <v>32</v>
      </c>
    </row>
    <row r="38" spans="1:1" ht="15.75" customHeight="1">
      <c r="A38" s="2" t="s">
        <v>33</v>
      </c>
    </row>
    <row r="39" spans="1:1" ht="15.75" customHeight="1">
      <c r="A39" s="2" t="s">
        <v>34</v>
      </c>
    </row>
    <row r="40" spans="1:1" ht="15.75" customHeight="1">
      <c r="A40" s="2" t="s">
        <v>35</v>
      </c>
    </row>
    <row r="41" spans="1:1" ht="15.75" customHeight="1">
      <c r="A41" s="2" t="s">
        <v>36</v>
      </c>
    </row>
    <row r="42" spans="1:1" ht="15.75" customHeight="1"/>
    <row r="43" spans="1:1" ht="15.75" customHeight="1">
      <c r="A43" s="2" t="s">
        <v>37</v>
      </c>
    </row>
    <row r="44" spans="1:1" ht="15.75" customHeight="1">
      <c r="A44" s="2" t="s">
        <v>38</v>
      </c>
    </row>
    <row r="45" spans="1:1" ht="15.75" customHeight="1">
      <c r="A45" s="2" t="s">
        <v>39</v>
      </c>
    </row>
    <row r="46" spans="1:1" ht="15.75" customHeight="1">
      <c r="A46" s="2" t="s">
        <v>40</v>
      </c>
    </row>
    <row r="47" spans="1:1" ht="15.75" customHeight="1">
      <c r="A47" s="2" t="s">
        <v>41</v>
      </c>
    </row>
    <row r="48" spans="1:1" ht="15.75" customHeight="1">
      <c r="A48" s="2" t="s">
        <v>42</v>
      </c>
    </row>
    <row r="49" spans="1:1" ht="15.75" customHeight="1">
      <c r="A49" s="2" t="s">
        <v>43</v>
      </c>
    </row>
    <row r="50" spans="1:1" ht="15.75" customHeight="1">
      <c r="A50" s="2" t="s">
        <v>44</v>
      </c>
    </row>
    <row r="51" spans="1:1" ht="15.75" customHeight="1">
      <c r="A51" s="2" t="s">
        <v>45</v>
      </c>
    </row>
    <row r="52" spans="1:1" ht="15.75" customHeight="1">
      <c r="A52" s="2" t="s">
        <v>46</v>
      </c>
    </row>
    <row r="53" spans="1:1" ht="15.75" customHeight="1"/>
    <row r="54" spans="1:1" ht="15.75" customHeight="1">
      <c r="A54" s="2" t="s">
        <v>47</v>
      </c>
    </row>
    <row r="55" spans="1:1" ht="15.75" customHeight="1">
      <c r="A55" s="2" t="s">
        <v>48</v>
      </c>
    </row>
    <row r="56" spans="1:1" ht="15.75" customHeight="1">
      <c r="A56" s="2" t="s">
        <v>49</v>
      </c>
    </row>
    <row r="57" spans="1:1" ht="15.75" customHeight="1">
      <c r="A57" s="2" t="s">
        <v>50</v>
      </c>
    </row>
    <row r="58" spans="1:1" ht="15.75" customHeight="1">
      <c r="A58" s="2" t="s">
        <v>51</v>
      </c>
    </row>
    <row r="59" spans="1:1" ht="15.75" customHeight="1">
      <c r="A59" s="2" t="s">
        <v>52</v>
      </c>
    </row>
    <row r="60" spans="1:1" ht="15.75" customHeight="1">
      <c r="A60" s="2" t="s">
        <v>53</v>
      </c>
    </row>
    <row r="61" spans="1:1" ht="15.75" customHeight="1">
      <c r="A61" s="2" t="s">
        <v>54</v>
      </c>
    </row>
    <row r="62" spans="1:1" ht="15.75" customHeight="1"/>
    <row r="63" spans="1:1" ht="15.75" customHeight="1">
      <c r="A63" s="2" t="s">
        <v>55</v>
      </c>
    </row>
    <row r="64" spans="1:1" ht="15.75" customHeight="1">
      <c r="A64" s="2" t="s">
        <v>56</v>
      </c>
    </row>
    <row r="65" spans="1:1" ht="15.75" customHeight="1">
      <c r="A65" s="2" t="s">
        <v>57</v>
      </c>
    </row>
    <row r="66" spans="1:1" ht="15.75" customHeight="1">
      <c r="A66" s="2" t="s">
        <v>58</v>
      </c>
    </row>
    <row r="67" spans="1:1" ht="15.75" customHeight="1">
      <c r="A67" s="2" t="s">
        <v>59</v>
      </c>
    </row>
    <row r="68" spans="1:1" ht="15.75" customHeight="1">
      <c r="A68" s="2" t="s">
        <v>60</v>
      </c>
    </row>
    <row r="69" spans="1:1" ht="15.75" customHeight="1">
      <c r="A69" s="2" t="s">
        <v>61</v>
      </c>
    </row>
    <row r="70" spans="1:1" ht="15.75" customHeight="1">
      <c r="A70" s="2" t="s">
        <v>62</v>
      </c>
    </row>
    <row r="71" spans="1:1" ht="15.75" customHeight="1">
      <c r="A71" s="2" t="s">
        <v>63</v>
      </c>
    </row>
    <row r="72" spans="1:1" ht="15.75" customHeight="1">
      <c r="A72" s="2" t="s">
        <v>64</v>
      </c>
    </row>
    <row r="73" spans="1:1" ht="15.75" customHeight="1">
      <c r="A73" s="2" t="s">
        <v>65</v>
      </c>
    </row>
    <row r="74" spans="1:1" ht="15.75" customHeight="1"/>
    <row r="75" spans="1:1" ht="15.75" customHeight="1">
      <c r="A75" s="2" t="s">
        <v>66</v>
      </c>
    </row>
    <row r="76" spans="1:1" ht="15.75" customHeight="1">
      <c r="A76" s="2" t="s">
        <v>67</v>
      </c>
    </row>
    <row r="77" spans="1:1" ht="15.75" customHeight="1">
      <c r="A77" s="2" t="s">
        <v>68</v>
      </c>
    </row>
    <row r="78" spans="1:1" ht="15.75" customHeight="1">
      <c r="A78" s="2" t="s">
        <v>69</v>
      </c>
    </row>
    <row r="79" spans="1:1" ht="15.75" customHeight="1">
      <c r="A79" s="2" t="s">
        <v>70</v>
      </c>
    </row>
    <row r="80" spans="1:1" ht="15.75" customHeight="1">
      <c r="A80" s="2" t="s">
        <v>71</v>
      </c>
    </row>
    <row r="81" spans="1:1" ht="15.75" customHeight="1">
      <c r="A81" s="2" t="s">
        <v>72</v>
      </c>
    </row>
    <row r="82" spans="1:1" ht="15.75" customHeight="1">
      <c r="A82" s="2" t="s">
        <v>73</v>
      </c>
    </row>
    <row r="83" spans="1:1" ht="15.75" customHeight="1">
      <c r="A83" s="2" t="s">
        <v>74</v>
      </c>
    </row>
    <row r="84" spans="1:1" ht="15.75" customHeight="1"/>
    <row r="85" spans="1:1" ht="15.75" customHeight="1">
      <c r="A85" s="2" t="s">
        <v>75</v>
      </c>
    </row>
    <row r="86" spans="1:1" ht="15.75" customHeight="1">
      <c r="A86" s="2" t="s">
        <v>76</v>
      </c>
    </row>
    <row r="87" spans="1:1" ht="15.75" customHeight="1">
      <c r="A87" s="2" t="s">
        <v>77</v>
      </c>
    </row>
    <row r="88" spans="1:1" ht="15.75" customHeight="1">
      <c r="A88" s="2" t="s">
        <v>78</v>
      </c>
    </row>
    <row r="89" spans="1:1" ht="15.75" customHeight="1">
      <c r="A89" s="2" t="s">
        <v>79</v>
      </c>
    </row>
    <row r="90" spans="1:1" ht="15.75" customHeight="1">
      <c r="A90" s="2" t="s">
        <v>80</v>
      </c>
    </row>
    <row r="91" spans="1:1" ht="15.75" customHeight="1">
      <c r="A91" s="2" t="s">
        <v>81</v>
      </c>
    </row>
    <row r="92" spans="1:1" ht="15.75" customHeight="1"/>
    <row r="93" spans="1:1" ht="15.75" customHeight="1"/>
    <row r="94" spans="1:1" ht="15.75" customHeight="1"/>
    <row r="95" spans="1:1" ht="15.75" customHeight="1"/>
    <row r="96" spans="1:1"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99"/>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ColWidth="14.42578125" defaultRowHeight="15" customHeight="1"/>
  <cols>
    <col min="1" max="1" width="44" customWidth="1"/>
    <col min="2" max="15" width="12" customWidth="1"/>
    <col min="16" max="26" width="8.7109375" customWidth="1"/>
  </cols>
  <sheetData>
    <row r="1" spans="1:15" ht="21">
      <c r="A1" s="85" t="s">
        <v>82</v>
      </c>
      <c r="B1" s="86"/>
      <c r="C1" s="86"/>
      <c r="D1" s="86"/>
      <c r="E1" s="86"/>
      <c r="F1" s="86"/>
      <c r="G1" s="86"/>
      <c r="H1" s="86"/>
      <c r="I1" s="86"/>
      <c r="J1" s="86"/>
      <c r="K1" s="86"/>
      <c r="L1" s="86"/>
      <c r="M1" s="86"/>
      <c r="N1" s="86"/>
      <c r="O1" s="86"/>
    </row>
    <row r="2" spans="1:15">
      <c r="A2" s="87" t="s">
        <v>83</v>
      </c>
      <c r="B2" s="86"/>
      <c r="C2" s="86"/>
      <c r="D2" s="86"/>
      <c r="E2" s="86"/>
      <c r="F2" s="86"/>
      <c r="G2" s="86"/>
      <c r="H2" s="86"/>
      <c r="I2" s="86"/>
      <c r="J2" s="86"/>
      <c r="K2" s="86"/>
      <c r="L2" s="86"/>
      <c r="M2" s="86"/>
      <c r="N2" s="86"/>
      <c r="O2" s="86"/>
    </row>
    <row r="4" spans="1:15">
      <c r="A4" s="3" t="s">
        <v>84</v>
      </c>
      <c r="B4" s="3" t="s">
        <v>85</v>
      </c>
      <c r="C4" s="3" t="s">
        <v>86</v>
      </c>
      <c r="D4" s="3" t="s">
        <v>87</v>
      </c>
      <c r="E4" s="3" t="s">
        <v>88</v>
      </c>
      <c r="F4" s="3" t="s">
        <v>89</v>
      </c>
      <c r="G4" s="3" t="s">
        <v>90</v>
      </c>
      <c r="H4" s="3" t="s">
        <v>91</v>
      </c>
      <c r="I4" s="3" t="s">
        <v>92</v>
      </c>
      <c r="J4" s="3" t="s">
        <v>93</v>
      </c>
      <c r="K4" s="3" t="s">
        <v>94</v>
      </c>
      <c r="L4" s="3" t="s">
        <v>95</v>
      </c>
      <c r="M4" s="3" t="s">
        <v>96</v>
      </c>
      <c r="N4" s="3" t="s">
        <v>97</v>
      </c>
      <c r="O4" s="3" t="s">
        <v>98</v>
      </c>
    </row>
    <row r="6" spans="1:15">
      <c r="A6" s="4" t="s">
        <v>99</v>
      </c>
      <c r="B6" s="4"/>
      <c r="C6" s="4"/>
      <c r="D6" s="4"/>
      <c r="E6" s="4"/>
      <c r="F6" s="4"/>
      <c r="G6" s="4"/>
      <c r="H6" s="4"/>
      <c r="I6" s="4"/>
      <c r="J6" s="4"/>
      <c r="K6" s="4"/>
      <c r="L6" s="4"/>
      <c r="M6" s="4"/>
      <c r="N6" s="4"/>
      <c r="O6" s="4"/>
    </row>
    <row r="7" spans="1:15">
      <c r="A7" s="2" t="s">
        <v>100</v>
      </c>
      <c r="B7" s="5">
        <v>6470.41</v>
      </c>
      <c r="C7" s="5">
        <v>6627.84</v>
      </c>
      <c r="D7" s="5">
        <v>6470.42</v>
      </c>
      <c r="E7" s="5">
        <v>9705.26</v>
      </c>
      <c r="F7" s="5">
        <v>6526.38</v>
      </c>
      <c r="G7" s="5"/>
      <c r="H7" s="5"/>
      <c r="I7" s="5"/>
      <c r="J7" s="5"/>
      <c r="K7" s="5"/>
      <c r="L7" s="5"/>
      <c r="M7" s="5"/>
      <c r="N7" s="6">
        <f t="shared" ref="N7:N14" si="0">SUM(B7:M7)</f>
        <v>35800.31</v>
      </c>
      <c r="O7" s="6">
        <f t="shared" ref="O7:O14" si="1">IFERROR(AVERAGEIF(B7:M7,"&lt;&gt;0"),0)</f>
        <v>7160.0619999999999</v>
      </c>
    </row>
    <row r="8" spans="1:15">
      <c r="A8" s="2" t="s">
        <v>101</v>
      </c>
      <c r="B8" s="5">
        <v>5179.07</v>
      </c>
      <c r="C8" s="5">
        <v>4551.25</v>
      </c>
      <c r="D8" s="5">
        <v>3827.99</v>
      </c>
      <c r="E8" s="5">
        <v>5427.48</v>
      </c>
      <c r="F8" s="5">
        <v>5989.4400000000014</v>
      </c>
      <c r="G8" s="5"/>
      <c r="H8" s="5"/>
      <c r="I8" s="5"/>
      <c r="J8" s="5"/>
      <c r="K8" s="5"/>
      <c r="L8" s="5"/>
      <c r="M8" s="5"/>
      <c r="N8" s="6">
        <f t="shared" si="0"/>
        <v>24975.230000000003</v>
      </c>
      <c r="O8" s="6">
        <f t="shared" si="1"/>
        <v>4995.0460000000003</v>
      </c>
    </row>
    <row r="9" spans="1:15">
      <c r="A9" s="2" t="s">
        <v>102</v>
      </c>
      <c r="B9" s="5"/>
      <c r="C9" s="5"/>
      <c r="D9" s="5"/>
      <c r="E9" s="5"/>
      <c r="F9" s="5"/>
      <c r="G9" s="5"/>
      <c r="H9" s="5"/>
      <c r="I9" s="5"/>
      <c r="J9" s="5"/>
      <c r="K9" s="5"/>
      <c r="L9" s="5"/>
      <c r="M9" s="5"/>
      <c r="N9" s="6">
        <f t="shared" si="0"/>
        <v>0</v>
      </c>
      <c r="O9" s="6">
        <f t="shared" si="1"/>
        <v>0</v>
      </c>
    </row>
    <row r="10" spans="1:15">
      <c r="A10" s="2" t="s">
        <v>103</v>
      </c>
      <c r="B10" s="5">
        <v>155.30000000000001</v>
      </c>
      <c r="C10" s="5">
        <v>144.4</v>
      </c>
      <c r="D10" s="5">
        <v>87.26</v>
      </c>
      <c r="E10" s="5">
        <v>94.929999999999993</v>
      </c>
      <c r="F10" s="5">
        <v>79.5</v>
      </c>
      <c r="G10" s="5"/>
      <c r="H10" s="5"/>
      <c r="I10" s="5"/>
      <c r="J10" s="5"/>
      <c r="K10" s="5"/>
      <c r="L10" s="5"/>
      <c r="M10" s="5"/>
      <c r="N10" s="6">
        <f t="shared" si="0"/>
        <v>561.3900000000001</v>
      </c>
      <c r="O10" s="6">
        <f t="shared" si="1"/>
        <v>112.27800000000002</v>
      </c>
    </row>
    <row r="11" spans="1:15">
      <c r="A11" s="2" t="s">
        <v>104</v>
      </c>
      <c r="B11" s="5"/>
      <c r="C11" s="5"/>
      <c r="D11" s="5"/>
      <c r="E11" s="5"/>
      <c r="F11" s="5"/>
      <c r="G11" s="5"/>
      <c r="H11" s="5"/>
      <c r="I11" s="5"/>
      <c r="J11" s="5"/>
      <c r="K11" s="5"/>
      <c r="L11" s="5"/>
      <c r="M11" s="5"/>
      <c r="N11" s="6">
        <f t="shared" si="0"/>
        <v>0</v>
      </c>
      <c r="O11" s="6">
        <f t="shared" si="1"/>
        <v>0</v>
      </c>
    </row>
    <row r="12" spans="1:15">
      <c r="A12" s="2" t="s">
        <v>105</v>
      </c>
      <c r="B12" s="5"/>
      <c r="C12" s="5"/>
      <c r="D12" s="5"/>
      <c r="E12" s="5"/>
      <c r="F12" s="5"/>
      <c r="G12" s="5"/>
      <c r="H12" s="5"/>
      <c r="I12" s="5"/>
      <c r="J12" s="5"/>
      <c r="K12" s="5"/>
      <c r="L12" s="5"/>
      <c r="M12" s="5"/>
      <c r="N12" s="6">
        <f t="shared" si="0"/>
        <v>0</v>
      </c>
      <c r="O12" s="6">
        <f t="shared" si="1"/>
        <v>0</v>
      </c>
    </row>
    <row r="13" spans="1:15">
      <c r="A13" s="2" t="s">
        <v>106</v>
      </c>
      <c r="B13" s="5"/>
      <c r="C13" s="5"/>
      <c r="D13" s="5"/>
      <c r="E13" s="5">
        <v>603</v>
      </c>
      <c r="F13" s="5"/>
      <c r="G13" s="5"/>
      <c r="H13" s="5"/>
      <c r="I13" s="5"/>
      <c r="J13" s="5"/>
      <c r="K13" s="5"/>
      <c r="L13" s="5"/>
      <c r="M13" s="5"/>
      <c r="N13" s="6">
        <f t="shared" si="0"/>
        <v>603</v>
      </c>
      <c r="O13" s="6">
        <f t="shared" si="1"/>
        <v>603</v>
      </c>
    </row>
    <row r="14" spans="1:15">
      <c r="A14" s="2" t="s">
        <v>107</v>
      </c>
      <c r="B14" s="5">
        <v>72.010000000000005</v>
      </c>
      <c r="C14" s="5">
        <v>77.529999999999987</v>
      </c>
      <c r="D14" s="5">
        <v>43.52</v>
      </c>
      <c r="E14" s="5">
        <v>209.21</v>
      </c>
      <c r="F14" s="5">
        <v>177.6</v>
      </c>
      <c r="G14" s="5">
        <v>90.949999999999989</v>
      </c>
      <c r="H14" s="5"/>
      <c r="I14" s="5"/>
      <c r="J14" s="5"/>
      <c r="K14" s="5"/>
      <c r="L14" s="5"/>
      <c r="M14" s="5"/>
      <c r="N14" s="6">
        <f t="shared" si="0"/>
        <v>670.81999999999994</v>
      </c>
      <c r="O14" s="6">
        <f t="shared" si="1"/>
        <v>111.80333333333333</v>
      </c>
    </row>
    <row r="15" spans="1:15">
      <c r="A15" s="7" t="s">
        <v>108</v>
      </c>
      <c r="B15" s="8">
        <f t="shared" ref="B15:N15" si="2">SUM(B7:B14)</f>
        <v>11876.789999999999</v>
      </c>
      <c r="C15" s="8">
        <f t="shared" si="2"/>
        <v>11401.02</v>
      </c>
      <c r="D15" s="8">
        <f t="shared" si="2"/>
        <v>10429.19</v>
      </c>
      <c r="E15" s="8">
        <f t="shared" si="2"/>
        <v>16039.88</v>
      </c>
      <c r="F15" s="8">
        <f t="shared" si="2"/>
        <v>12772.920000000002</v>
      </c>
      <c r="G15" s="8">
        <f t="shared" si="2"/>
        <v>90.949999999999989</v>
      </c>
      <c r="H15" s="8">
        <f t="shared" si="2"/>
        <v>0</v>
      </c>
      <c r="I15" s="8">
        <f t="shared" si="2"/>
        <v>0</v>
      </c>
      <c r="J15" s="8">
        <f t="shared" si="2"/>
        <v>0</v>
      </c>
      <c r="K15" s="8">
        <f t="shared" si="2"/>
        <v>0</v>
      </c>
      <c r="L15" s="8">
        <f t="shared" si="2"/>
        <v>0</v>
      </c>
      <c r="M15" s="8">
        <f t="shared" si="2"/>
        <v>0</v>
      </c>
      <c r="N15" s="8">
        <f t="shared" si="2"/>
        <v>62610.75</v>
      </c>
      <c r="O15" s="8">
        <f>IFERROR(N15/COUNTIF(B15:M15,"&gt;0"),0)</f>
        <v>10435.125</v>
      </c>
    </row>
    <row r="17" spans="1:15">
      <c r="A17" s="4" t="s">
        <v>109</v>
      </c>
      <c r="B17" s="4"/>
      <c r="C17" s="4"/>
      <c r="D17" s="4"/>
      <c r="E17" s="4"/>
      <c r="F17" s="4"/>
      <c r="G17" s="4"/>
      <c r="H17" s="4"/>
      <c r="I17" s="4"/>
      <c r="J17" s="4"/>
      <c r="K17" s="4"/>
      <c r="L17" s="4"/>
      <c r="M17" s="4"/>
      <c r="N17" s="4"/>
      <c r="O17" s="4"/>
    </row>
    <row r="18" spans="1:15">
      <c r="A18" s="2" t="s">
        <v>110</v>
      </c>
      <c r="B18" s="5">
        <v>3288.58</v>
      </c>
      <c r="C18" s="5">
        <v>3288.58</v>
      </c>
      <c r="D18" s="5">
        <v>3288.58</v>
      </c>
      <c r="E18" s="5">
        <v>3288.58</v>
      </c>
      <c r="F18" s="5">
        <v>3288.58</v>
      </c>
      <c r="G18" s="5"/>
      <c r="H18" s="5"/>
      <c r="I18" s="5"/>
      <c r="J18" s="5"/>
      <c r="K18" s="5"/>
      <c r="L18" s="5"/>
      <c r="M18" s="5"/>
      <c r="N18" s="6">
        <f t="shared" ref="N18:N28" si="3">SUM(B18:M18)</f>
        <v>16442.900000000001</v>
      </c>
      <c r="O18" s="6">
        <f t="shared" ref="O18:O28" si="4">IFERROR(AVERAGEIF(B18:M18,"&lt;&gt;0"),0)</f>
        <v>3288.5800000000004</v>
      </c>
    </row>
    <row r="19" spans="1:15">
      <c r="A19" s="2" t="s">
        <v>111</v>
      </c>
      <c r="B19" s="5">
        <v>384</v>
      </c>
      <c r="C19" s="5">
        <v>384</v>
      </c>
      <c r="D19" s="5">
        <v>576</v>
      </c>
      <c r="E19" s="5">
        <v>384</v>
      </c>
      <c r="F19" s="5">
        <v>384</v>
      </c>
      <c r="G19" s="5"/>
      <c r="H19" s="5"/>
      <c r="I19" s="5"/>
      <c r="J19" s="5"/>
      <c r="K19" s="5"/>
      <c r="L19" s="5"/>
      <c r="M19" s="5"/>
      <c r="N19" s="6">
        <f t="shared" si="3"/>
        <v>2112</v>
      </c>
      <c r="O19" s="6">
        <f t="shared" si="4"/>
        <v>422.4</v>
      </c>
    </row>
    <row r="20" spans="1:15">
      <c r="A20" s="2" t="s">
        <v>112</v>
      </c>
      <c r="B20" s="5">
        <v>416</v>
      </c>
      <c r="C20" s="5">
        <v>416</v>
      </c>
      <c r="D20" s="5">
        <v>624</v>
      </c>
      <c r="E20" s="5">
        <v>416</v>
      </c>
      <c r="F20" s="5">
        <v>416</v>
      </c>
      <c r="G20" s="5"/>
      <c r="H20" s="5"/>
      <c r="I20" s="5"/>
      <c r="J20" s="5"/>
      <c r="K20" s="5"/>
      <c r="L20" s="5"/>
      <c r="M20" s="5"/>
      <c r="N20" s="6">
        <f t="shared" si="3"/>
        <v>2288</v>
      </c>
      <c r="O20" s="6">
        <f t="shared" si="4"/>
        <v>457.6</v>
      </c>
    </row>
    <row r="21" spans="1:15" ht="15.75" customHeight="1">
      <c r="A21" s="2" t="s">
        <v>113</v>
      </c>
      <c r="B21" s="5">
        <v>724.6</v>
      </c>
      <c r="C21" s="5">
        <v>684.34</v>
      </c>
      <c r="D21" s="5"/>
      <c r="E21" s="5">
        <v>1229.2</v>
      </c>
      <c r="F21" s="5">
        <v>421.6</v>
      </c>
      <c r="G21" s="5"/>
      <c r="H21" s="5"/>
      <c r="I21" s="5"/>
      <c r="J21" s="5"/>
      <c r="K21" s="5"/>
      <c r="L21" s="5"/>
      <c r="M21" s="5"/>
      <c r="N21" s="6">
        <f t="shared" si="3"/>
        <v>3059.7400000000002</v>
      </c>
      <c r="O21" s="6">
        <f t="shared" si="4"/>
        <v>764.93500000000006</v>
      </c>
    </row>
    <row r="22" spans="1:15" ht="15.75" customHeight="1">
      <c r="A22" s="2" t="s">
        <v>114</v>
      </c>
      <c r="B22" s="5"/>
      <c r="C22" s="5"/>
      <c r="D22" s="5"/>
      <c r="E22" s="5">
        <v>1848.3</v>
      </c>
      <c r="F22" s="5"/>
      <c r="G22" s="5"/>
      <c r="H22" s="5"/>
      <c r="I22" s="5"/>
      <c r="J22" s="5"/>
      <c r="K22" s="5"/>
      <c r="L22" s="5"/>
      <c r="M22" s="5"/>
      <c r="N22" s="6">
        <f t="shared" si="3"/>
        <v>1848.3</v>
      </c>
      <c r="O22" s="6">
        <f t="shared" si="4"/>
        <v>1848.3</v>
      </c>
    </row>
    <row r="23" spans="1:15" ht="15.75" customHeight="1">
      <c r="A23" s="2" t="s">
        <v>115</v>
      </c>
      <c r="B23" s="5">
        <v>46.19</v>
      </c>
      <c r="C23" s="5">
        <v>46.19</v>
      </c>
      <c r="D23" s="5">
        <v>46.19</v>
      </c>
      <c r="E23" s="5">
        <v>46.19</v>
      </c>
      <c r="F23" s="5">
        <v>46.19</v>
      </c>
      <c r="G23" s="5"/>
      <c r="H23" s="5"/>
      <c r="I23" s="5"/>
      <c r="J23" s="5"/>
      <c r="K23" s="5"/>
      <c r="L23" s="5"/>
      <c r="M23" s="5"/>
      <c r="N23" s="6">
        <f t="shared" si="3"/>
        <v>230.95</v>
      </c>
      <c r="O23" s="6">
        <f t="shared" si="4"/>
        <v>46.19</v>
      </c>
    </row>
    <row r="24" spans="1:15" ht="15.75" customHeight="1">
      <c r="A24" s="2" t="s">
        <v>116</v>
      </c>
      <c r="B24" s="5"/>
      <c r="C24" s="5">
        <v>90.39</v>
      </c>
      <c r="D24" s="5">
        <v>90.39</v>
      </c>
      <c r="E24" s="5">
        <v>90.39</v>
      </c>
      <c r="F24" s="5">
        <v>90.39</v>
      </c>
      <c r="G24" s="5"/>
      <c r="H24" s="5"/>
      <c r="I24" s="5"/>
      <c r="J24" s="5"/>
      <c r="K24" s="5"/>
      <c r="L24" s="5"/>
      <c r="M24" s="5"/>
      <c r="N24" s="6">
        <f t="shared" si="3"/>
        <v>361.56</v>
      </c>
      <c r="O24" s="6">
        <f t="shared" si="4"/>
        <v>90.39</v>
      </c>
    </row>
    <row r="25" spans="1:15" ht="15.75" customHeight="1">
      <c r="A25" s="2" t="s">
        <v>117</v>
      </c>
      <c r="B25" s="5">
        <v>54.99</v>
      </c>
      <c r="C25" s="5">
        <v>54.99</v>
      </c>
      <c r="D25" s="5">
        <v>54.99</v>
      </c>
      <c r="E25" s="5">
        <v>54.99</v>
      </c>
      <c r="F25" s="5">
        <v>54.99</v>
      </c>
      <c r="G25" s="5"/>
      <c r="H25" s="5"/>
      <c r="I25" s="5"/>
      <c r="J25" s="5"/>
      <c r="K25" s="5"/>
      <c r="L25" s="5"/>
      <c r="M25" s="5"/>
      <c r="N25" s="6">
        <f t="shared" si="3"/>
        <v>274.95</v>
      </c>
      <c r="O25" s="6">
        <f t="shared" si="4"/>
        <v>54.989999999999995</v>
      </c>
    </row>
    <row r="26" spans="1:15" ht="15.75" customHeight="1">
      <c r="A26" s="2" t="s">
        <v>118</v>
      </c>
      <c r="B26" s="5">
        <v>138.05000000000001</v>
      </c>
      <c r="C26" s="5">
        <v>139.63999999999999</v>
      </c>
      <c r="D26" s="5">
        <v>139.63999999999999</v>
      </c>
      <c r="E26" s="5">
        <v>139.61000000000001</v>
      </c>
      <c r="F26" s="5">
        <v>139.61000000000001</v>
      </c>
      <c r="G26" s="5"/>
      <c r="H26" s="5"/>
      <c r="I26" s="5"/>
      <c r="J26" s="5"/>
      <c r="K26" s="5"/>
      <c r="L26" s="5"/>
      <c r="M26" s="5"/>
      <c r="N26" s="6">
        <f t="shared" si="3"/>
        <v>696.55000000000007</v>
      </c>
      <c r="O26" s="6">
        <f t="shared" si="4"/>
        <v>139.31</v>
      </c>
    </row>
    <row r="27" spans="1:15" ht="15.75" customHeight="1">
      <c r="A27" s="2" t="s">
        <v>119</v>
      </c>
      <c r="B27" s="5">
        <v>100</v>
      </c>
      <c r="C27" s="5"/>
      <c r="D27" s="5">
        <v>200</v>
      </c>
      <c r="E27" s="5">
        <v>100</v>
      </c>
      <c r="F27" s="5"/>
      <c r="G27" s="5"/>
      <c r="H27" s="5"/>
      <c r="I27" s="5"/>
      <c r="J27" s="5"/>
      <c r="K27" s="5"/>
      <c r="L27" s="5"/>
      <c r="M27" s="5"/>
      <c r="N27" s="6">
        <f t="shared" si="3"/>
        <v>400</v>
      </c>
      <c r="O27" s="6">
        <f t="shared" si="4"/>
        <v>133.33333333333334</v>
      </c>
    </row>
    <row r="28" spans="1:15" ht="15.75" customHeight="1">
      <c r="A28" s="2" t="s">
        <v>120</v>
      </c>
      <c r="B28" s="5">
        <v>100</v>
      </c>
      <c r="C28" s="5">
        <v>50</v>
      </c>
      <c r="D28" s="5">
        <v>200</v>
      </c>
      <c r="E28" s="5">
        <v>100</v>
      </c>
      <c r="F28" s="5"/>
      <c r="G28" s="5">
        <v>100</v>
      </c>
      <c r="H28" s="5"/>
      <c r="I28" s="5"/>
      <c r="J28" s="5"/>
      <c r="K28" s="5"/>
      <c r="L28" s="5"/>
      <c r="M28" s="5"/>
      <c r="N28" s="6">
        <f t="shared" si="3"/>
        <v>550</v>
      </c>
      <c r="O28" s="6">
        <f t="shared" si="4"/>
        <v>110</v>
      </c>
    </row>
    <row r="29" spans="1:15" ht="15.75" customHeight="1">
      <c r="A29" s="7" t="s">
        <v>121</v>
      </c>
      <c r="B29" s="8">
        <v>50</v>
      </c>
      <c r="C29" s="8">
        <v>50</v>
      </c>
      <c r="D29" s="8">
        <v>50</v>
      </c>
      <c r="E29" s="8">
        <v>50</v>
      </c>
      <c r="F29" s="8">
        <v>50</v>
      </c>
      <c r="G29" s="8">
        <v>100</v>
      </c>
      <c r="H29" s="8">
        <v>0</v>
      </c>
      <c r="I29" s="8">
        <v>0</v>
      </c>
      <c r="J29" s="8">
        <v>0</v>
      </c>
      <c r="K29" s="8">
        <v>0</v>
      </c>
      <c r="L29" s="8">
        <v>0</v>
      </c>
      <c r="M29" s="8">
        <v>0</v>
      </c>
      <c r="N29" s="8">
        <f>SUM(N18:N28)</f>
        <v>28264.950000000004</v>
      </c>
      <c r="O29" s="8">
        <f>IFERROR(N29/COUNTIF(B29:M29,"&gt;0"),0)</f>
        <v>4710.8250000000007</v>
      </c>
    </row>
    <row r="30" spans="1:15" ht="15.75" customHeight="1"/>
    <row r="31" spans="1:15" ht="15.75" customHeight="1">
      <c r="A31" s="4" t="s">
        <v>122</v>
      </c>
      <c r="B31" s="4"/>
      <c r="C31" s="4"/>
      <c r="D31" s="4"/>
      <c r="E31" s="4"/>
      <c r="F31" s="4"/>
      <c r="G31" s="4"/>
      <c r="H31" s="4"/>
      <c r="I31" s="4"/>
      <c r="J31" s="4"/>
      <c r="K31" s="4"/>
      <c r="L31" s="4"/>
      <c r="M31" s="4"/>
      <c r="N31" s="4"/>
      <c r="O31" s="4"/>
    </row>
    <row r="32" spans="1:15" ht="15.75" customHeight="1">
      <c r="A32" s="2" t="s">
        <v>123</v>
      </c>
      <c r="B32" s="5">
        <v>508.66</v>
      </c>
      <c r="C32" s="5">
        <v>528.66</v>
      </c>
      <c r="D32" s="5">
        <v>637</v>
      </c>
      <c r="E32" s="5">
        <v>405.83</v>
      </c>
      <c r="F32" s="5">
        <v>303.95999999999998</v>
      </c>
      <c r="G32" s="5">
        <v>223.28</v>
      </c>
      <c r="H32" s="5"/>
      <c r="I32" s="5"/>
      <c r="J32" s="5"/>
      <c r="K32" s="5"/>
      <c r="L32" s="5"/>
      <c r="M32" s="5"/>
      <c r="N32" s="6">
        <f>SUM(B32:M32)</f>
        <v>2607.3900000000003</v>
      </c>
      <c r="O32" s="6">
        <f>IFERROR(AVERAGEIF(B32:M32,"&lt;&gt;0"),0)</f>
        <v>434.56500000000005</v>
      </c>
    </row>
    <row r="33" spans="1:15" ht="15.75" customHeight="1">
      <c r="A33" s="2" t="s">
        <v>124</v>
      </c>
      <c r="B33" s="5">
        <v>189.8</v>
      </c>
      <c r="C33" s="5">
        <v>364.31</v>
      </c>
      <c r="D33" s="5">
        <v>351.64</v>
      </c>
      <c r="E33" s="5">
        <v>207.68</v>
      </c>
      <c r="F33" s="5">
        <v>194.51</v>
      </c>
      <c r="G33" s="5">
        <v>87</v>
      </c>
      <c r="H33" s="5"/>
      <c r="I33" s="5"/>
      <c r="J33" s="5"/>
      <c r="K33" s="5"/>
      <c r="L33" s="5"/>
      <c r="M33" s="5"/>
      <c r="N33" s="6">
        <f>SUM(B33:M33)</f>
        <v>1394.94</v>
      </c>
      <c r="O33" s="6">
        <f>IFERROR(AVERAGEIF(B33:M33,"&lt;&gt;0"),0)</f>
        <v>232.49</v>
      </c>
    </row>
    <row r="34" spans="1:15" ht="15.75" customHeight="1">
      <c r="A34" s="2" t="s">
        <v>125</v>
      </c>
      <c r="B34" s="5"/>
      <c r="C34" s="5"/>
      <c r="D34" s="5"/>
      <c r="E34" s="5"/>
      <c r="F34" s="5"/>
      <c r="G34" s="5"/>
      <c r="H34" s="5"/>
      <c r="I34" s="5"/>
      <c r="J34" s="5"/>
      <c r="K34" s="5"/>
      <c r="L34" s="5"/>
      <c r="M34" s="5"/>
      <c r="N34" s="6">
        <f>SUM(B34:M34)</f>
        <v>0</v>
      </c>
      <c r="O34" s="6">
        <f>IFERROR(AVERAGEIF(B34:M34,"&lt;&gt;0"),0)</f>
        <v>0</v>
      </c>
    </row>
    <row r="35" spans="1:15" ht="15.75" customHeight="1">
      <c r="A35" s="7" t="s">
        <v>126</v>
      </c>
      <c r="B35" s="8">
        <f t="shared" ref="B35:N35" si="5">SUM(B32:B34)</f>
        <v>698.46</v>
      </c>
      <c r="C35" s="8">
        <f t="shared" si="5"/>
        <v>892.97</v>
      </c>
      <c r="D35" s="8">
        <f t="shared" si="5"/>
        <v>988.64</v>
      </c>
      <c r="E35" s="8">
        <f t="shared" si="5"/>
        <v>613.51</v>
      </c>
      <c r="F35" s="8">
        <f t="shared" si="5"/>
        <v>498.46999999999997</v>
      </c>
      <c r="G35" s="8">
        <f t="shared" si="5"/>
        <v>310.27999999999997</v>
      </c>
      <c r="H35" s="8">
        <f t="shared" si="5"/>
        <v>0</v>
      </c>
      <c r="I35" s="8">
        <f t="shared" si="5"/>
        <v>0</v>
      </c>
      <c r="J35" s="8">
        <f t="shared" si="5"/>
        <v>0</v>
      </c>
      <c r="K35" s="8">
        <f t="shared" si="5"/>
        <v>0</v>
      </c>
      <c r="L35" s="8">
        <f t="shared" si="5"/>
        <v>0</v>
      </c>
      <c r="M35" s="8">
        <f t="shared" si="5"/>
        <v>0</v>
      </c>
      <c r="N35" s="8">
        <f t="shared" si="5"/>
        <v>4002.3300000000004</v>
      </c>
      <c r="O35" s="8">
        <f>IFERROR(N35/COUNTIF(B35:M35,"&gt;0"),0)</f>
        <v>667.05500000000006</v>
      </c>
    </row>
    <row r="36" spans="1:15" ht="15.75" customHeight="1"/>
    <row r="37" spans="1:15" ht="15.75" customHeight="1">
      <c r="A37" s="4" t="s">
        <v>127</v>
      </c>
      <c r="B37" s="4"/>
      <c r="C37" s="4"/>
      <c r="D37" s="4"/>
      <c r="E37" s="4"/>
      <c r="F37" s="4"/>
      <c r="G37" s="4"/>
      <c r="H37" s="4"/>
      <c r="I37" s="4"/>
      <c r="J37" s="4"/>
      <c r="K37" s="4"/>
      <c r="L37" s="4"/>
      <c r="M37" s="4"/>
      <c r="N37" s="4"/>
      <c r="O37" s="4"/>
    </row>
    <row r="38" spans="1:15" ht="15.75" customHeight="1">
      <c r="A38" s="2" t="s">
        <v>128</v>
      </c>
      <c r="B38" s="6">
        <v>635.40000000000009</v>
      </c>
      <c r="C38" s="6">
        <v>940.29000000000008</v>
      </c>
      <c r="D38" s="6">
        <v>701.42000000000007</v>
      </c>
      <c r="E38" s="6">
        <v>720.34</v>
      </c>
      <c r="F38" s="6">
        <v>427.34</v>
      </c>
      <c r="G38" s="6"/>
      <c r="H38" s="6"/>
      <c r="I38" s="6"/>
      <c r="J38" s="6"/>
      <c r="K38" s="6"/>
      <c r="L38" s="6"/>
      <c r="M38" s="6"/>
      <c r="N38" s="6">
        <f t="shared" ref="N38:N50" si="6">SUM(B38:M38)</f>
        <v>3424.7900000000004</v>
      </c>
      <c r="O38" s="6">
        <f t="shared" ref="O38:O50" si="7">IFERROR(AVERAGEIF(B38:M38,"&lt;&gt;0"),0)</f>
        <v>684.95800000000008</v>
      </c>
    </row>
    <row r="39" spans="1:15" ht="15.75" customHeight="1">
      <c r="A39" s="2" t="s">
        <v>129</v>
      </c>
      <c r="B39" s="6">
        <v>198.77</v>
      </c>
      <c r="C39" s="6">
        <v>242.84</v>
      </c>
      <c r="D39" s="6">
        <v>214.4</v>
      </c>
      <c r="E39" s="6">
        <v>356.42</v>
      </c>
      <c r="F39" s="6">
        <v>302.95999999999998</v>
      </c>
      <c r="G39" s="6"/>
      <c r="H39" s="6"/>
      <c r="I39" s="6"/>
      <c r="J39" s="6"/>
      <c r="K39" s="6"/>
      <c r="L39" s="6"/>
      <c r="M39" s="6"/>
      <c r="N39" s="6">
        <f t="shared" si="6"/>
        <v>1315.39</v>
      </c>
      <c r="O39" s="6">
        <f t="shared" si="7"/>
        <v>263.07800000000003</v>
      </c>
    </row>
    <row r="40" spans="1:15" ht="15.75" customHeight="1">
      <c r="A40" s="2" t="s">
        <v>130</v>
      </c>
      <c r="B40" s="6">
        <v>683.65000000000009</v>
      </c>
      <c r="C40" s="6">
        <v>884.87</v>
      </c>
      <c r="D40" s="6">
        <v>575</v>
      </c>
      <c r="E40" s="6">
        <v>1032.83</v>
      </c>
      <c r="F40" s="6">
        <v>427.35</v>
      </c>
      <c r="G40" s="6"/>
      <c r="H40" s="6"/>
      <c r="I40" s="6"/>
      <c r="J40" s="6"/>
      <c r="K40" s="6"/>
      <c r="L40" s="6"/>
      <c r="M40" s="6"/>
      <c r="N40" s="6">
        <f t="shared" si="6"/>
        <v>3603.7</v>
      </c>
      <c r="O40" s="6">
        <f t="shared" si="7"/>
        <v>720.74</v>
      </c>
    </row>
    <row r="41" spans="1:15" ht="15.75" customHeight="1">
      <c r="A41" s="2" t="s">
        <v>131</v>
      </c>
      <c r="B41" s="6">
        <v>111.05</v>
      </c>
      <c r="C41" s="6">
        <v>104.34</v>
      </c>
      <c r="D41" s="6">
        <v>111.05</v>
      </c>
      <c r="E41" s="6">
        <v>160.4</v>
      </c>
      <c r="F41" s="6">
        <v>153.07</v>
      </c>
      <c r="G41" s="6"/>
      <c r="H41" s="6"/>
      <c r="I41" s="6"/>
      <c r="J41" s="6"/>
      <c r="K41" s="6"/>
      <c r="L41" s="6"/>
      <c r="M41" s="6"/>
      <c r="N41" s="6">
        <f t="shared" si="6"/>
        <v>639.91000000000008</v>
      </c>
      <c r="O41" s="6">
        <f t="shared" si="7"/>
        <v>127.98200000000001</v>
      </c>
    </row>
    <row r="42" spans="1:15" ht="15.75" customHeight="1">
      <c r="A42" s="2" t="s">
        <v>132</v>
      </c>
      <c r="B42" s="6">
        <v>240</v>
      </c>
      <c r="C42" s="6">
        <v>27</v>
      </c>
      <c r="D42" s="6">
        <v>90</v>
      </c>
      <c r="E42" s="6">
        <v>490.32</v>
      </c>
      <c r="F42" s="6">
        <v>654.24</v>
      </c>
      <c r="G42" s="6"/>
      <c r="H42" s="6"/>
      <c r="I42" s="6"/>
      <c r="J42" s="6"/>
      <c r="K42" s="6"/>
      <c r="L42" s="6"/>
      <c r="M42" s="6"/>
      <c r="N42" s="6">
        <f t="shared" si="6"/>
        <v>1501.56</v>
      </c>
      <c r="O42" s="6">
        <f t="shared" si="7"/>
        <v>300.31200000000001</v>
      </c>
    </row>
    <row r="43" spans="1:15" ht="15.75" customHeight="1">
      <c r="A43" s="2" t="s">
        <v>133</v>
      </c>
      <c r="B43" s="6"/>
      <c r="C43" s="6"/>
      <c r="D43" s="6">
        <v>30.54</v>
      </c>
      <c r="E43" s="6">
        <v>917.41</v>
      </c>
      <c r="F43" s="6">
        <v>104.8</v>
      </c>
      <c r="G43" s="6"/>
      <c r="H43" s="6"/>
      <c r="I43" s="6"/>
      <c r="J43" s="6"/>
      <c r="K43" s="6"/>
      <c r="L43" s="6"/>
      <c r="M43" s="6"/>
      <c r="N43" s="6">
        <f t="shared" si="6"/>
        <v>1052.75</v>
      </c>
      <c r="O43" s="6">
        <f t="shared" si="7"/>
        <v>350.91666666666669</v>
      </c>
    </row>
    <row r="44" spans="1:15" ht="15.75" customHeight="1">
      <c r="A44" s="2" t="s">
        <v>134</v>
      </c>
      <c r="B44" s="6">
        <v>53.499999999999993</v>
      </c>
      <c r="C44" s="6">
        <v>1.4399999999999979</v>
      </c>
      <c r="D44" s="6">
        <v>215.5</v>
      </c>
      <c r="E44" s="6">
        <v>96.529999999999987</v>
      </c>
      <c r="F44" s="6">
        <v>335.47</v>
      </c>
      <c r="G44" s="6"/>
      <c r="H44" s="6"/>
      <c r="I44" s="6"/>
      <c r="J44" s="6"/>
      <c r="K44" s="6"/>
      <c r="L44" s="6"/>
      <c r="M44" s="6"/>
      <c r="N44" s="6">
        <f t="shared" si="6"/>
        <v>702.44</v>
      </c>
      <c r="O44" s="6">
        <f t="shared" si="7"/>
        <v>140.488</v>
      </c>
    </row>
    <row r="45" spans="1:15" ht="15.75" customHeight="1">
      <c r="A45" s="2" t="s">
        <v>135</v>
      </c>
      <c r="B45" s="6">
        <v>35.54</v>
      </c>
      <c r="C45" s="6">
        <v>55.34</v>
      </c>
      <c r="D45" s="6">
        <v>18</v>
      </c>
      <c r="E45" s="6">
        <v>108.71</v>
      </c>
      <c r="F45" s="6">
        <v>8.7200000000000006</v>
      </c>
      <c r="G45" s="6"/>
      <c r="H45" s="6"/>
      <c r="I45" s="6"/>
      <c r="J45" s="6"/>
      <c r="K45" s="6"/>
      <c r="L45" s="6"/>
      <c r="M45" s="6"/>
      <c r="N45" s="6">
        <f t="shared" si="6"/>
        <v>226.30999999999997</v>
      </c>
      <c r="O45" s="6">
        <f t="shared" si="7"/>
        <v>45.261999999999993</v>
      </c>
    </row>
    <row r="46" spans="1:15" ht="15.75" customHeight="1">
      <c r="A46" s="2" t="s">
        <v>136</v>
      </c>
      <c r="B46" s="6">
        <v>47.180000000000007</v>
      </c>
      <c r="C46" s="6">
        <v>186.05</v>
      </c>
      <c r="D46" s="6">
        <v>15.42</v>
      </c>
      <c r="E46" s="6">
        <v>224.72</v>
      </c>
      <c r="F46" s="6">
        <v>186.2</v>
      </c>
      <c r="G46" s="6"/>
      <c r="H46" s="6"/>
      <c r="I46" s="6"/>
      <c r="J46" s="6"/>
      <c r="K46" s="6"/>
      <c r="L46" s="6"/>
      <c r="M46" s="6"/>
      <c r="N46" s="6">
        <f t="shared" si="6"/>
        <v>659.56999999999994</v>
      </c>
      <c r="O46" s="6">
        <f t="shared" si="7"/>
        <v>131.91399999999999</v>
      </c>
    </row>
    <row r="47" spans="1:15" ht="15.75" customHeight="1">
      <c r="A47" s="2" t="s">
        <v>137</v>
      </c>
      <c r="B47" s="6">
        <v>856.76999999999987</v>
      </c>
      <c r="C47" s="6">
        <v>267.06</v>
      </c>
      <c r="D47" s="6">
        <v>417.23</v>
      </c>
      <c r="E47" s="6">
        <v>482.16</v>
      </c>
      <c r="F47" s="6">
        <v>356.25000000000011</v>
      </c>
      <c r="G47" s="6"/>
      <c r="H47" s="6"/>
      <c r="I47" s="6"/>
      <c r="J47" s="6"/>
      <c r="K47" s="6"/>
      <c r="L47" s="6"/>
      <c r="M47" s="6"/>
      <c r="N47" s="6">
        <f t="shared" si="6"/>
        <v>2379.4700000000003</v>
      </c>
      <c r="O47" s="6">
        <f t="shared" si="7"/>
        <v>475.89400000000006</v>
      </c>
    </row>
    <row r="48" spans="1:15" ht="15.75" customHeight="1">
      <c r="A48" s="2" t="s">
        <v>138</v>
      </c>
      <c r="B48" s="6"/>
      <c r="C48" s="6"/>
      <c r="D48" s="6"/>
      <c r="E48" s="6">
        <v>490</v>
      </c>
      <c r="F48" s="6"/>
      <c r="G48" s="6"/>
      <c r="H48" s="6"/>
      <c r="I48" s="6"/>
      <c r="J48" s="6"/>
      <c r="K48" s="6"/>
      <c r="L48" s="6"/>
      <c r="M48" s="6"/>
      <c r="N48" s="6">
        <f t="shared" si="6"/>
        <v>490</v>
      </c>
      <c r="O48" s="6">
        <f t="shared" si="7"/>
        <v>490</v>
      </c>
    </row>
    <row r="49" spans="1:15" ht="15.75" customHeight="1">
      <c r="A49" s="2" t="s">
        <v>139</v>
      </c>
      <c r="B49" s="6"/>
      <c r="C49" s="6"/>
      <c r="D49" s="6"/>
      <c r="E49" s="6"/>
      <c r="F49" s="6">
        <v>300</v>
      </c>
      <c r="G49" s="6"/>
      <c r="H49" s="6"/>
      <c r="I49" s="6"/>
      <c r="J49" s="6"/>
      <c r="K49" s="6"/>
      <c r="L49" s="6"/>
      <c r="M49" s="6"/>
      <c r="N49" s="6">
        <f t="shared" si="6"/>
        <v>300</v>
      </c>
      <c r="O49" s="6">
        <f t="shared" si="7"/>
        <v>300</v>
      </c>
    </row>
    <row r="50" spans="1:15" ht="15.75" customHeight="1">
      <c r="A50" s="2" t="s">
        <v>140</v>
      </c>
      <c r="B50" s="6">
        <v>2349.16</v>
      </c>
      <c r="C50" s="6">
        <v>461.55000000000013</v>
      </c>
      <c r="D50" s="6">
        <v>24417.03</v>
      </c>
      <c r="E50" s="6">
        <v>1839.2</v>
      </c>
      <c r="F50" s="6">
        <v>2000</v>
      </c>
      <c r="G50" s="6"/>
      <c r="H50" s="6"/>
      <c r="I50" s="6"/>
      <c r="J50" s="6"/>
      <c r="K50" s="6"/>
      <c r="L50" s="6"/>
      <c r="M50" s="6"/>
      <c r="N50" s="6">
        <f t="shared" si="6"/>
        <v>31066.94</v>
      </c>
      <c r="O50" s="6">
        <f t="shared" si="7"/>
        <v>6213.3879999999999</v>
      </c>
    </row>
    <row r="51" spans="1:15" ht="15.75" customHeight="1">
      <c r="A51" s="7" t="s">
        <v>141</v>
      </c>
      <c r="B51" s="8">
        <v>5211.0200000000004</v>
      </c>
      <c r="C51" s="8">
        <v>3170.7800000000011</v>
      </c>
      <c r="D51" s="8">
        <v>26805.59</v>
      </c>
      <c r="E51" s="8">
        <v>6919.0400000000009</v>
      </c>
      <c r="F51" s="8">
        <v>5256.4</v>
      </c>
      <c r="G51" s="8">
        <v>0</v>
      </c>
      <c r="H51" s="8">
        <v>0</v>
      </c>
      <c r="I51" s="8">
        <v>0</v>
      </c>
      <c r="J51" s="8">
        <v>0</v>
      </c>
      <c r="K51" s="8">
        <v>0</v>
      </c>
      <c r="L51" s="8">
        <v>0</v>
      </c>
      <c r="M51" s="8">
        <v>0</v>
      </c>
      <c r="N51" s="8">
        <f>SUM(N38:N50)</f>
        <v>47362.83</v>
      </c>
      <c r="O51" s="8">
        <f>IFERROR(N51/COUNTIF(B51:M51,"&gt;0"),0)</f>
        <v>9472.5660000000007</v>
      </c>
    </row>
    <row r="52" spans="1:15" ht="15.75" customHeight="1"/>
    <row r="53" spans="1:15" ht="15.75" customHeight="1">
      <c r="A53" s="4" t="s">
        <v>142</v>
      </c>
      <c r="B53" s="4"/>
      <c r="C53" s="4"/>
      <c r="D53" s="4"/>
      <c r="E53" s="4"/>
      <c r="F53" s="4"/>
      <c r="G53" s="4"/>
      <c r="H53" s="4"/>
      <c r="I53" s="4"/>
      <c r="J53" s="4"/>
      <c r="K53" s="4"/>
      <c r="L53" s="4"/>
      <c r="M53" s="4"/>
      <c r="N53" s="4"/>
      <c r="O53" s="4"/>
    </row>
    <row r="54" spans="1:15" ht="15.75" customHeight="1">
      <c r="A54" s="2" t="s">
        <v>143</v>
      </c>
      <c r="B54" s="6"/>
      <c r="C54" s="6"/>
      <c r="D54" s="6">
        <v>26318</v>
      </c>
      <c r="E54" s="6"/>
      <c r="F54" s="6">
        <v>2000</v>
      </c>
      <c r="G54" s="6"/>
      <c r="H54" s="6"/>
      <c r="I54" s="6"/>
      <c r="J54" s="6"/>
      <c r="K54" s="6"/>
      <c r="L54" s="6"/>
      <c r="M54" s="6"/>
      <c r="N54" s="6">
        <f>SUM(B54:M54)</f>
        <v>28318</v>
      </c>
      <c r="O54" s="6">
        <f>IFERROR(N54/COUNTIF(B54:M54,"&gt;0"),0)</f>
        <v>14159</v>
      </c>
    </row>
    <row r="55" spans="1:15" ht="15.75" customHeight="1">
      <c r="A55" s="2" t="s">
        <v>144</v>
      </c>
      <c r="B55" s="5"/>
      <c r="C55" s="5"/>
      <c r="D55" s="5"/>
      <c r="E55" s="5">
        <v>3399.85</v>
      </c>
      <c r="F55" s="5"/>
      <c r="G55" s="5"/>
      <c r="H55" s="5"/>
      <c r="I55" s="5"/>
      <c r="J55" s="5"/>
      <c r="K55" s="5"/>
      <c r="L55" s="5"/>
      <c r="M55" s="5"/>
      <c r="N55" s="6">
        <f>SUM(B55:M55)</f>
        <v>3399.85</v>
      </c>
      <c r="O55" s="6">
        <f>IFERROR(AVERAGEIF(B55:M55,"&lt;&gt;0"),0)</f>
        <v>3399.85</v>
      </c>
    </row>
    <row r="56" spans="1:15" ht="15.75" customHeight="1">
      <c r="A56" s="2" t="s">
        <v>145</v>
      </c>
      <c r="B56" s="5"/>
      <c r="C56" s="5"/>
      <c r="D56" s="5"/>
      <c r="E56" s="5">
        <v>3399.85</v>
      </c>
      <c r="F56" s="5"/>
      <c r="G56" s="5"/>
      <c r="H56" s="5"/>
      <c r="I56" s="5"/>
      <c r="J56" s="5"/>
      <c r="K56" s="5"/>
      <c r="L56" s="5"/>
      <c r="M56" s="5"/>
      <c r="N56" s="6">
        <f>SUM(B56:M56)</f>
        <v>3399.85</v>
      </c>
      <c r="O56" s="6">
        <f>IFERROR(AVERAGEIF(B56:M56,"&lt;&gt;0"),0)</f>
        <v>3399.85</v>
      </c>
    </row>
    <row r="57" spans="1:15" ht="15.75" customHeight="1">
      <c r="A57" s="2" t="s">
        <v>146</v>
      </c>
      <c r="B57" s="5"/>
      <c r="C57" s="5"/>
      <c r="D57" s="5"/>
      <c r="E57" s="5"/>
      <c r="F57" s="5"/>
      <c r="G57" s="5"/>
      <c r="H57" s="5"/>
      <c r="I57" s="5"/>
      <c r="J57" s="5"/>
      <c r="K57" s="5"/>
      <c r="L57" s="5"/>
      <c r="M57" s="5"/>
      <c r="N57" s="6">
        <f>SUM(B57:M57)</f>
        <v>0</v>
      </c>
      <c r="O57" s="6">
        <f>IFERROR(AVERAGEIF(B57:M57,"&lt;&gt;0"),0)</f>
        <v>0</v>
      </c>
    </row>
    <row r="58" spans="1:15" ht="15.75" customHeight="1">
      <c r="A58" s="7" t="s">
        <v>147</v>
      </c>
      <c r="B58" s="8">
        <f t="shared" ref="B58:N58" si="8">SUM(B54:B57)</f>
        <v>0</v>
      </c>
      <c r="C58" s="8">
        <f t="shared" si="8"/>
        <v>0</v>
      </c>
      <c r="D58" s="8">
        <f t="shared" si="8"/>
        <v>26318</v>
      </c>
      <c r="E58" s="8">
        <f t="shared" si="8"/>
        <v>6799.7</v>
      </c>
      <c r="F58" s="8">
        <f t="shared" si="8"/>
        <v>2000</v>
      </c>
      <c r="G58" s="8">
        <f t="shared" si="8"/>
        <v>0</v>
      </c>
      <c r="H58" s="8">
        <f t="shared" si="8"/>
        <v>0</v>
      </c>
      <c r="I58" s="8">
        <f t="shared" si="8"/>
        <v>0</v>
      </c>
      <c r="J58" s="8">
        <f t="shared" si="8"/>
        <v>0</v>
      </c>
      <c r="K58" s="8">
        <f t="shared" si="8"/>
        <v>0</v>
      </c>
      <c r="L58" s="8">
        <f t="shared" si="8"/>
        <v>0</v>
      </c>
      <c r="M58" s="8">
        <f t="shared" si="8"/>
        <v>0</v>
      </c>
      <c r="N58" s="8">
        <f t="shared" si="8"/>
        <v>35117.699999999997</v>
      </c>
      <c r="O58" s="8">
        <f>IFERROR(N58/COUNTIF(B58:M58,"&gt;0"),0)</f>
        <v>11705.9</v>
      </c>
    </row>
    <row r="59" spans="1:15" ht="15.75" customHeight="1"/>
    <row r="60" spans="1:15" ht="15.75" customHeight="1">
      <c r="A60" s="7" t="s">
        <v>148</v>
      </c>
      <c r="B60" s="8">
        <f t="shared" ref="B60:N60" si="9">B29+B35+B51+B58</f>
        <v>5959.4800000000005</v>
      </c>
      <c r="C60" s="8">
        <f t="shared" si="9"/>
        <v>4113.7500000000009</v>
      </c>
      <c r="D60" s="8">
        <f t="shared" si="9"/>
        <v>54162.229999999996</v>
      </c>
      <c r="E60" s="8">
        <f t="shared" si="9"/>
        <v>14382.25</v>
      </c>
      <c r="F60" s="8">
        <f t="shared" si="9"/>
        <v>7804.87</v>
      </c>
      <c r="G60" s="8">
        <f t="shared" si="9"/>
        <v>410.28</v>
      </c>
      <c r="H60" s="8">
        <f t="shared" si="9"/>
        <v>0</v>
      </c>
      <c r="I60" s="8">
        <f t="shared" si="9"/>
        <v>0</v>
      </c>
      <c r="J60" s="8">
        <f t="shared" si="9"/>
        <v>0</v>
      </c>
      <c r="K60" s="8">
        <f t="shared" si="9"/>
        <v>0</v>
      </c>
      <c r="L60" s="8">
        <f t="shared" si="9"/>
        <v>0</v>
      </c>
      <c r="M60" s="8">
        <f t="shared" si="9"/>
        <v>0</v>
      </c>
      <c r="N60" s="8">
        <f t="shared" si="9"/>
        <v>114747.81000000001</v>
      </c>
      <c r="O60" s="8"/>
    </row>
    <row r="61" spans="1:15" ht="15.75" customHeight="1"/>
    <row r="62" spans="1:15" ht="15.75" customHeight="1">
      <c r="A62" s="7" t="s">
        <v>149</v>
      </c>
      <c r="B62" s="8">
        <f t="shared" ref="B62:N62" si="10">B15-B60</f>
        <v>5917.3099999999986</v>
      </c>
      <c r="C62" s="8">
        <f t="shared" si="10"/>
        <v>7287.2699999999995</v>
      </c>
      <c r="D62" s="8">
        <f t="shared" si="10"/>
        <v>-43733.039999999994</v>
      </c>
      <c r="E62" s="8">
        <f t="shared" si="10"/>
        <v>1657.6299999999992</v>
      </c>
      <c r="F62" s="8">
        <f t="shared" si="10"/>
        <v>4968.050000000002</v>
      </c>
      <c r="G62" s="8">
        <f t="shared" si="10"/>
        <v>-319.33</v>
      </c>
      <c r="H62" s="8">
        <f t="shared" si="10"/>
        <v>0</v>
      </c>
      <c r="I62" s="8">
        <f t="shared" si="10"/>
        <v>0</v>
      </c>
      <c r="J62" s="8">
        <f t="shared" si="10"/>
        <v>0</v>
      </c>
      <c r="K62" s="8">
        <f t="shared" si="10"/>
        <v>0</v>
      </c>
      <c r="L62" s="8">
        <f t="shared" si="10"/>
        <v>0</v>
      </c>
      <c r="M62" s="8">
        <f t="shared" si="10"/>
        <v>0</v>
      </c>
      <c r="N62" s="8">
        <f t="shared" si="10"/>
        <v>-52137.060000000012</v>
      </c>
      <c r="O62" s="8"/>
    </row>
    <row r="63" spans="1:15" ht="15.75" customHeight="1"/>
    <row r="64" spans="1:15" ht="15.75" customHeight="1">
      <c r="A64" s="4" t="s">
        <v>150</v>
      </c>
      <c r="B64" s="4"/>
      <c r="C64" s="4"/>
      <c r="D64" s="4"/>
      <c r="E64" s="4"/>
      <c r="F64" s="4"/>
      <c r="G64" s="4"/>
      <c r="H64" s="4"/>
      <c r="I64" s="4"/>
      <c r="J64" s="4"/>
      <c r="K64" s="4"/>
      <c r="L64" s="4"/>
      <c r="M64" s="4"/>
      <c r="N64" s="4"/>
      <c r="O64" s="4"/>
    </row>
    <row r="65" spans="1:15" ht="15.75" customHeight="1">
      <c r="A65" s="2" t="s">
        <v>151</v>
      </c>
      <c r="B65" s="5">
        <v>5223.93</v>
      </c>
      <c r="C65" s="6">
        <f t="shared" ref="C65:M65" si="11">B68</f>
        <v>-6328.239999999998</v>
      </c>
      <c r="D65" s="6">
        <f t="shared" si="11"/>
        <v>3134.9699999999984</v>
      </c>
      <c r="E65" s="6">
        <f t="shared" si="11"/>
        <v>46729.069999999992</v>
      </c>
      <c r="F65" s="6">
        <f t="shared" si="11"/>
        <v>-41821.69999999999</v>
      </c>
      <c r="G65" s="6">
        <f t="shared" si="11"/>
        <v>43214.649999999987</v>
      </c>
      <c r="H65" s="6">
        <f t="shared" si="11"/>
        <v>-42895.319999999985</v>
      </c>
      <c r="I65" s="6">
        <f t="shared" si="11"/>
        <v>42895.319999999985</v>
      </c>
      <c r="J65" s="6">
        <f t="shared" si="11"/>
        <v>-42895.319999999985</v>
      </c>
      <c r="K65" s="6">
        <f t="shared" si="11"/>
        <v>42895.319999999985</v>
      </c>
      <c r="L65" s="6">
        <f t="shared" si="11"/>
        <v>-42895.319999999985</v>
      </c>
      <c r="M65" s="6">
        <f t="shared" si="11"/>
        <v>42895.319999999985</v>
      </c>
      <c r="N65" s="6"/>
      <c r="O65" s="6"/>
    </row>
    <row r="66" spans="1:15" ht="15.75" customHeight="1">
      <c r="A66" s="2" t="s">
        <v>152</v>
      </c>
      <c r="B66" s="6">
        <f t="shared" ref="B66:M66" si="12">B65+B62</f>
        <v>11141.239999999998</v>
      </c>
      <c r="C66" s="6">
        <f t="shared" si="12"/>
        <v>959.03000000000156</v>
      </c>
      <c r="D66" s="6">
        <f t="shared" si="12"/>
        <v>-40598.069999999992</v>
      </c>
      <c r="E66" s="6">
        <f t="shared" si="12"/>
        <v>48386.69999999999</v>
      </c>
      <c r="F66" s="6">
        <f t="shared" si="12"/>
        <v>-36853.649999999987</v>
      </c>
      <c r="G66" s="6">
        <f t="shared" si="12"/>
        <v>42895.319999999985</v>
      </c>
      <c r="H66" s="6">
        <f t="shared" si="12"/>
        <v>-42895.319999999985</v>
      </c>
      <c r="I66" s="6">
        <f t="shared" si="12"/>
        <v>42895.319999999985</v>
      </c>
      <c r="J66" s="6">
        <f t="shared" si="12"/>
        <v>-42895.319999999985</v>
      </c>
      <c r="K66" s="6">
        <f t="shared" si="12"/>
        <v>42895.319999999985</v>
      </c>
      <c r="L66" s="6">
        <f t="shared" si="12"/>
        <v>-42895.319999999985</v>
      </c>
      <c r="M66" s="6">
        <f t="shared" si="12"/>
        <v>42895.319999999985</v>
      </c>
      <c r="N66" s="6"/>
      <c r="O66" s="6"/>
    </row>
    <row r="67" spans="1:15" ht="15.75" customHeight="1">
      <c r="A67" s="2" t="s">
        <v>153</v>
      </c>
      <c r="B67" s="5">
        <v>4813</v>
      </c>
      <c r="C67" s="5">
        <v>4094</v>
      </c>
      <c r="D67" s="5">
        <v>6131</v>
      </c>
      <c r="E67" s="5">
        <v>6565</v>
      </c>
      <c r="F67" s="5">
        <v>6361</v>
      </c>
      <c r="G67" s="5"/>
      <c r="H67" s="5"/>
      <c r="I67" s="5"/>
      <c r="J67" s="5"/>
      <c r="K67" s="5"/>
      <c r="L67" s="5"/>
      <c r="M67" s="5"/>
      <c r="N67" s="6"/>
      <c r="O67" s="6"/>
    </row>
    <row r="68" spans="1:15" ht="15.75" customHeight="1">
      <c r="A68" s="7" t="s">
        <v>154</v>
      </c>
      <c r="B68" s="8">
        <f t="shared" ref="B68:M68" si="13">B67-B66</f>
        <v>-6328.239999999998</v>
      </c>
      <c r="C68" s="8">
        <f t="shared" si="13"/>
        <v>3134.9699999999984</v>
      </c>
      <c r="D68" s="8">
        <f t="shared" si="13"/>
        <v>46729.069999999992</v>
      </c>
      <c r="E68" s="8">
        <f t="shared" si="13"/>
        <v>-41821.69999999999</v>
      </c>
      <c r="F68" s="8">
        <f t="shared" si="13"/>
        <v>43214.649999999987</v>
      </c>
      <c r="G68" s="8">
        <f t="shared" si="13"/>
        <v>-42895.319999999985</v>
      </c>
      <c r="H68" s="8">
        <f t="shared" si="13"/>
        <v>42895.319999999985</v>
      </c>
      <c r="I68" s="8">
        <f t="shared" si="13"/>
        <v>-42895.319999999985</v>
      </c>
      <c r="J68" s="8">
        <f t="shared" si="13"/>
        <v>42895.319999999985</v>
      </c>
      <c r="K68" s="8">
        <f t="shared" si="13"/>
        <v>-42895.319999999985</v>
      </c>
      <c r="L68" s="8">
        <f t="shared" si="13"/>
        <v>42895.319999999985</v>
      </c>
      <c r="M68" s="8">
        <f t="shared" si="13"/>
        <v>-42895.319999999985</v>
      </c>
      <c r="N68" s="8"/>
      <c r="O68" s="8"/>
    </row>
    <row r="69" spans="1:15" ht="15.75" customHeight="1"/>
    <row r="70" spans="1:15" ht="15.75" customHeight="1"/>
    <row r="71" spans="1:15" ht="15.75" customHeight="1"/>
    <row r="72" spans="1:15" ht="15.75" customHeight="1"/>
    <row r="73" spans="1:15" ht="15.75" customHeight="1"/>
    <row r="74" spans="1:15" ht="15.75" customHeight="1"/>
    <row r="75" spans="1:15" ht="15.75" customHeight="1"/>
    <row r="76" spans="1:15" ht="15.75" customHeight="1"/>
    <row r="77" spans="1:15" ht="15.75" customHeight="1"/>
    <row r="78" spans="1:15" ht="15.75" customHeight="1"/>
    <row r="79" spans="1:15" ht="15.75" customHeight="1"/>
    <row r="80" spans="1: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O1"/>
    <mergeCell ref="A2:O2"/>
  </mergeCells>
  <conditionalFormatting sqref="B68:M68">
    <cfRule type="cellIs" dxfId="16" priority="1" operator="greaterThan">
      <formula>50</formula>
    </cfRule>
    <cfRule type="cellIs" dxfId="15" priority="2" operator="lessThan">
      <formula>-50</formula>
    </cfRule>
  </conditionalFormatting>
  <conditionalFormatting sqref="B62:N62">
    <cfRule type="cellIs" dxfId="14" priority="3" operator="lessThan">
      <formula>0</formula>
    </cfRule>
    <cfRule type="cellIs" dxfId="13" priority="4" operator="greaterThanOrEqual">
      <formula>0</formula>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ColWidth="14.42578125" defaultRowHeight="15" customHeight="1"/>
  <cols>
    <col min="1" max="1" width="42.140625" customWidth="1"/>
    <col min="2" max="14" width="11" customWidth="1"/>
    <col min="15" max="26" width="8.7109375" customWidth="1"/>
  </cols>
  <sheetData>
    <row r="1" spans="1:14" ht="18.75">
      <c r="A1" s="88" t="s">
        <v>155</v>
      </c>
      <c r="B1" s="86"/>
      <c r="C1" s="86"/>
      <c r="D1" s="86"/>
      <c r="E1" s="86"/>
      <c r="F1" s="86"/>
      <c r="G1" s="86"/>
      <c r="H1" s="86"/>
      <c r="I1" s="86"/>
      <c r="J1" s="86"/>
      <c r="K1" s="86"/>
      <c r="L1" s="86"/>
      <c r="M1" s="86"/>
      <c r="N1" s="86"/>
    </row>
    <row r="2" spans="1:14">
      <c r="A2" s="87" t="s">
        <v>156</v>
      </c>
      <c r="B2" s="86"/>
      <c r="C2" s="86"/>
      <c r="D2" s="86"/>
      <c r="E2" s="86"/>
      <c r="F2" s="86"/>
      <c r="G2" s="86"/>
      <c r="H2" s="86"/>
      <c r="I2" s="86"/>
      <c r="J2" s="86"/>
      <c r="K2" s="86"/>
      <c r="L2" s="86"/>
      <c r="M2" s="86"/>
      <c r="N2" s="86"/>
    </row>
    <row r="4" spans="1:14">
      <c r="A4" s="3" t="s">
        <v>84</v>
      </c>
      <c r="B4" s="3" t="s">
        <v>85</v>
      </c>
      <c r="C4" s="3" t="s">
        <v>86</v>
      </c>
      <c r="D4" s="3" t="s">
        <v>87</v>
      </c>
      <c r="E4" s="3" t="s">
        <v>88</v>
      </c>
      <c r="F4" s="3" t="s">
        <v>89</v>
      </c>
      <c r="G4" s="3" t="s">
        <v>90</v>
      </c>
      <c r="H4" s="3" t="s">
        <v>91</v>
      </c>
      <c r="I4" s="3" t="s">
        <v>92</v>
      </c>
      <c r="J4" s="3" t="s">
        <v>93</v>
      </c>
      <c r="K4" s="3" t="s">
        <v>94</v>
      </c>
      <c r="L4" s="3" t="s">
        <v>95</v>
      </c>
      <c r="M4" s="3" t="s">
        <v>96</v>
      </c>
      <c r="N4" s="3" t="s">
        <v>157</v>
      </c>
    </row>
    <row r="5" spans="1:14">
      <c r="A5" s="2" t="s">
        <v>158</v>
      </c>
      <c r="B5" s="6">
        <v>635.40000000000009</v>
      </c>
      <c r="C5" s="6">
        <v>940.29000000000008</v>
      </c>
      <c r="D5" s="6">
        <v>701.42000000000007</v>
      </c>
      <c r="E5" s="6">
        <v>746.33</v>
      </c>
      <c r="F5" s="6">
        <v>630.79999999999995</v>
      </c>
      <c r="G5" s="6">
        <v>146.28</v>
      </c>
      <c r="H5" s="6"/>
      <c r="I5" s="6"/>
      <c r="J5" s="6"/>
      <c r="K5" s="6"/>
      <c r="L5" s="6"/>
      <c r="M5" s="6"/>
      <c r="N5" s="6">
        <f t="shared" ref="N5:N17" si="0">SUM(B5:M5)</f>
        <v>3800.52</v>
      </c>
    </row>
    <row r="6" spans="1:14">
      <c r="A6" s="2" t="s">
        <v>159</v>
      </c>
      <c r="B6" s="6">
        <v>198.77</v>
      </c>
      <c r="C6" s="6">
        <v>242.84</v>
      </c>
      <c r="D6" s="6">
        <v>214.4</v>
      </c>
      <c r="E6" s="6">
        <v>356.42</v>
      </c>
      <c r="F6" s="6">
        <v>530.1</v>
      </c>
      <c r="G6" s="6"/>
      <c r="H6" s="6"/>
      <c r="I6" s="6"/>
      <c r="J6" s="6"/>
      <c r="K6" s="6"/>
      <c r="L6" s="6"/>
      <c r="M6" s="6"/>
      <c r="N6" s="6">
        <f t="shared" si="0"/>
        <v>1542.5300000000002</v>
      </c>
    </row>
    <row r="7" spans="1:14">
      <c r="A7" s="2" t="s">
        <v>160</v>
      </c>
      <c r="B7" s="6">
        <v>683.65000000000009</v>
      </c>
      <c r="C7" s="6">
        <v>884.87</v>
      </c>
      <c r="D7" s="6">
        <v>575</v>
      </c>
      <c r="E7" s="6">
        <v>1032.83</v>
      </c>
      <c r="F7" s="6">
        <v>935.71</v>
      </c>
      <c r="G7" s="6">
        <v>74.960000000000008</v>
      </c>
      <c r="H7" s="6"/>
      <c r="I7" s="6"/>
      <c r="J7" s="6"/>
      <c r="K7" s="6"/>
      <c r="L7" s="6"/>
      <c r="M7" s="6"/>
      <c r="N7" s="6">
        <f t="shared" si="0"/>
        <v>4187.0199999999995</v>
      </c>
    </row>
    <row r="8" spans="1:14">
      <c r="A8" s="2" t="s">
        <v>161</v>
      </c>
      <c r="B8" s="6">
        <v>111.05</v>
      </c>
      <c r="C8" s="6">
        <v>104.34</v>
      </c>
      <c r="D8" s="6">
        <v>111.05</v>
      </c>
      <c r="E8" s="6">
        <v>160.4</v>
      </c>
      <c r="F8" s="6">
        <v>154.06</v>
      </c>
      <c r="G8" s="6">
        <v>6.69</v>
      </c>
      <c r="H8" s="6"/>
      <c r="I8" s="6"/>
      <c r="J8" s="6"/>
      <c r="K8" s="6"/>
      <c r="L8" s="6"/>
      <c r="M8" s="6"/>
      <c r="N8" s="6">
        <f t="shared" si="0"/>
        <v>647.59000000000015</v>
      </c>
    </row>
    <row r="9" spans="1:14">
      <c r="A9" s="2" t="s">
        <v>162</v>
      </c>
      <c r="B9" s="6">
        <v>240</v>
      </c>
      <c r="C9" s="6">
        <v>37.61</v>
      </c>
      <c r="D9" s="6">
        <v>128.26</v>
      </c>
      <c r="E9" s="6">
        <v>533.78</v>
      </c>
      <c r="F9" s="6">
        <v>677.24</v>
      </c>
      <c r="G9" s="6">
        <v>295.64999999999998</v>
      </c>
      <c r="H9" s="6"/>
      <c r="I9" s="6"/>
      <c r="J9" s="6"/>
      <c r="K9" s="6"/>
      <c r="L9" s="6"/>
      <c r="M9" s="6"/>
      <c r="N9" s="6">
        <f t="shared" si="0"/>
        <v>1912.54</v>
      </c>
    </row>
    <row r="10" spans="1:14">
      <c r="A10" s="2" t="s">
        <v>163</v>
      </c>
      <c r="B10" s="6"/>
      <c r="C10" s="6"/>
      <c r="D10" s="6">
        <v>30.54</v>
      </c>
      <c r="E10" s="6">
        <v>917.41</v>
      </c>
      <c r="F10" s="6">
        <v>104.8</v>
      </c>
      <c r="G10" s="6"/>
      <c r="H10" s="6"/>
      <c r="I10" s="6"/>
      <c r="J10" s="6"/>
      <c r="K10" s="6"/>
      <c r="L10" s="6"/>
      <c r="M10" s="6"/>
      <c r="N10" s="6">
        <f t="shared" si="0"/>
        <v>1052.75</v>
      </c>
    </row>
    <row r="11" spans="1:14">
      <c r="A11" s="2" t="s">
        <v>164</v>
      </c>
      <c r="B11" s="6">
        <v>53.499999999999993</v>
      </c>
      <c r="C11" s="6">
        <v>1.4399999999999979</v>
      </c>
      <c r="D11" s="6">
        <v>215.5</v>
      </c>
      <c r="E11" s="6">
        <v>96.529999999999987</v>
      </c>
      <c r="F11" s="6">
        <v>335.47</v>
      </c>
      <c r="G11" s="6">
        <v>100</v>
      </c>
      <c r="H11" s="6"/>
      <c r="I11" s="6"/>
      <c r="J11" s="6"/>
      <c r="K11" s="6"/>
      <c r="L11" s="6"/>
      <c r="M11" s="6"/>
      <c r="N11" s="6">
        <f t="shared" si="0"/>
        <v>802.44</v>
      </c>
    </row>
    <row r="12" spans="1:14">
      <c r="A12" s="2" t="s">
        <v>165</v>
      </c>
      <c r="B12" s="6">
        <v>35.54</v>
      </c>
      <c r="C12" s="6">
        <v>55.34</v>
      </c>
      <c r="D12" s="6">
        <v>18</v>
      </c>
      <c r="E12" s="6">
        <v>108.71</v>
      </c>
      <c r="F12" s="6">
        <v>12.1</v>
      </c>
      <c r="G12" s="6">
        <v>3.79</v>
      </c>
      <c r="H12" s="6"/>
      <c r="I12" s="6"/>
      <c r="J12" s="6"/>
      <c r="K12" s="6"/>
      <c r="L12" s="6"/>
      <c r="M12" s="6"/>
      <c r="N12" s="6">
        <f t="shared" si="0"/>
        <v>233.47999999999996</v>
      </c>
    </row>
    <row r="13" spans="1:14">
      <c r="A13" s="2" t="s">
        <v>166</v>
      </c>
      <c r="B13" s="6">
        <v>47.180000000000007</v>
      </c>
      <c r="C13" s="6">
        <v>186.05</v>
      </c>
      <c r="D13" s="6">
        <v>26.75</v>
      </c>
      <c r="E13" s="6">
        <v>224.72</v>
      </c>
      <c r="F13" s="6">
        <v>389.01</v>
      </c>
      <c r="G13" s="6">
        <v>123.82</v>
      </c>
      <c r="H13" s="6"/>
      <c r="I13" s="6"/>
      <c r="J13" s="6"/>
      <c r="K13" s="6"/>
      <c r="L13" s="6"/>
      <c r="M13" s="6"/>
      <c r="N13" s="6">
        <f t="shared" si="0"/>
        <v>997.53</v>
      </c>
    </row>
    <row r="14" spans="1:14">
      <c r="A14" s="2" t="s">
        <v>167</v>
      </c>
      <c r="B14" s="6">
        <v>856.77</v>
      </c>
      <c r="C14" s="6">
        <v>267.06</v>
      </c>
      <c r="D14" s="6">
        <v>417.23</v>
      </c>
      <c r="E14" s="6">
        <v>482.16</v>
      </c>
      <c r="F14" s="6">
        <v>688.51</v>
      </c>
      <c r="G14" s="6">
        <v>157.93</v>
      </c>
      <c r="H14" s="6"/>
      <c r="I14" s="6"/>
      <c r="J14" s="6"/>
      <c r="K14" s="6"/>
      <c r="L14" s="6"/>
      <c r="M14" s="6"/>
      <c r="N14" s="6">
        <f t="shared" si="0"/>
        <v>2869.66</v>
      </c>
    </row>
    <row r="15" spans="1:14">
      <c r="A15" s="2" t="s">
        <v>168</v>
      </c>
      <c r="B15" s="6"/>
      <c r="C15" s="6"/>
      <c r="D15" s="6"/>
      <c r="E15" s="6">
        <v>490</v>
      </c>
      <c r="F15" s="6">
        <v>75</v>
      </c>
      <c r="G15" s="6">
        <v>65</v>
      </c>
      <c r="H15" s="6"/>
      <c r="I15" s="6"/>
      <c r="J15" s="6"/>
      <c r="K15" s="6"/>
      <c r="L15" s="6"/>
      <c r="M15" s="6"/>
      <c r="N15" s="6">
        <f t="shared" si="0"/>
        <v>630</v>
      </c>
    </row>
    <row r="16" spans="1:14">
      <c r="A16" s="2" t="s">
        <v>169</v>
      </c>
      <c r="B16" s="6"/>
      <c r="C16" s="6"/>
      <c r="D16" s="6"/>
      <c r="E16" s="6"/>
      <c r="F16" s="6">
        <v>600</v>
      </c>
      <c r="G16" s="6"/>
      <c r="H16" s="6"/>
      <c r="I16" s="6"/>
      <c r="J16" s="6"/>
      <c r="K16" s="6"/>
      <c r="L16" s="6"/>
      <c r="M16" s="6"/>
      <c r="N16" s="6">
        <f t="shared" si="0"/>
        <v>600</v>
      </c>
    </row>
    <row r="17" spans="1:14">
      <c r="A17" s="2" t="s">
        <v>170</v>
      </c>
      <c r="B17" s="6">
        <v>2349.16</v>
      </c>
      <c r="C17" s="6">
        <v>450.94000000000011</v>
      </c>
      <c r="D17" s="6">
        <v>24367.439999999999</v>
      </c>
      <c r="E17" s="6">
        <v>1769.75</v>
      </c>
      <c r="F17" s="6">
        <v>3985.28</v>
      </c>
      <c r="G17" s="6">
        <v>-2.2199999999999989</v>
      </c>
      <c r="H17" s="6"/>
      <c r="I17" s="6"/>
      <c r="J17" s="6"/>
      <c r="K17" s="6"/>
      <c r="L17" s="6"/>
      <c r="M17" s="6"/>
      <c r="N17" s="6">
        <f t="shared" si="0"/>
        <v>32920.35</v>
      </c>
    </row>
    <row r="18" spans="1:14">
      <c r="A18" s="7" t="s">
        <v>171</v>
      </c>
      <c r="B18" s="8">
        <f t="shared" ref="B18:N18" si="1">SUM(B5:B17)</f>
        <v>5211.0200000000004</v>
      </c>
      <c r="C18" s="8">
        <f t="shared" si="1"/>
        <v>3170.7800000000007</v>
      </c>
      <c r="D18" s="8">
        <f t="shared" si="1"/>
        <v>26805.59</v>
      </c>
      <c r="E18" s="8">
        <f t="shared" si="1"/>
        <v>6919.04</v>
      </c>
      <c r="F18" s="8">
        <f t="shared" si="1"/>
        <v>9118.08</v>
      </c>
      <c r="G18" s="8">
        <f t="shared" si="1"/>
        <v>971.89999999999986</v>
      </c>
      <c r="H18" s="8">
        <f t="shared" si="1"/>
        <v>0</v>
      </c>
      <c r="I18" s="8">
        <f t="shared" si="1"/>
        <v>0</v>
      </c>
      <c r="J18" s="8">
        <f t="shared" si="1"/>
        <v>0</v>
      </c>
      <c r="K18" s="8">
        <f t="shared" si="1"/>
        <v>0</v>
      </c>
      <c r="L18" s="8">
        <f t="shared" si="1"/>
        <v>0</v>
      </c>
      <c r="M18" s="8">
        <f t="shared" si="1"/>
        <v>0</v>
      </c>
      <c r="N18" s="8">
        <f t="shared" si="1"/>
        <v>52196.41</v>
      </c>
    </row>
    <row r="20" spans="1:14">
      <c r="A20" s="2" t="s">
        <v>172</v>
      </c>
      <c r="B20" s="5">
        <v>5863</v>
      </c>
      <c r="C20" s="5">
        <v>5466</v>
      </c>
      <c r="D20" s="5">
        <v>3914</v>
      </c>
      <c r="E20" s="5">
        <v>8658</v>
      </c>
      <c r="F20" s="5">
        <v>4911</v>
      </c>
      <c r="G20" s="5"/>
      <c r="H20" s="5"/>
      <c r="I20" s="5"/>
      <c r="J20" s="5"/>
      <c r="K20" s="5"/>
      <c r="L20" s="5"/>
      <c r="M20" s="5"/>
      <c r="N20" s="6">
        <f>SUM(B20:M20)</f>
        <v>28812</v>
      </c>
    </row>
    <row r="21" spans="1:14" ht="15.75" customHeight="1">
      <c r="A21" s="2" t="s">
        <v>173</v>
      </c>
      <c r="B21" s="6">
        <f t="shared" ref="B21:N21" si="2">B18-B20</f>
        <v>-651.97999999999956</v>
      </c>
      <c r="C21" s="6">
        <f t="shared" si="2"/>
        <v>-2295.2199999999993</v>
      </c>
      <c r="D21" s="6">
        <f t="shared" si="2"/>
        <v>22891.59</v>
      </c>
      <c r="E21" s="6">
        <f t="shared" si="2"/>
        <v>-1738.96</v>
      </c>
      <c r="F21" s="6">
        <f t="shared" si="2"/>
        <v>4207.08</v>
      </c>
      <c r="G21" s="6">
        <f t="shared" si="2"/>
        <v>971.89999999999986</v>
      </c>
      <c r="H21" s="6">
        <f t="shared" si="2"/>
        <v>0</v>
      </c>
      <c r="I21" s="6">
        <f t="shared" si="2"/>
        <v>0</v>
      </c>
      <c r="J21" s="6">
        <f t="shared" si="2"/>
        <v>0</v>
      </c>
      <c r="K21" s="6">
        <f t="shared" si="2"/>
        <v>0</v>
      </c>
      <c r="L21" s="6">
        <f t="shared" si="2"/>
        <v>0</v>
      </c>
      <c r="M21" s="6">
        <f t="shared" si="2"/>
        <v>0</v>
      </c>
      <c r="N21" s="6">
        <f t="shared" si="2"/>
        <v>23384.410000000003</v>
      </c>
    </row>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N2"/>
    <mergeCell ref="A1:N1"/>
  </mergeCells>
  <conditionalFormatting sqref="B21:M21">
    <cfRule type="cellIs" dxfId="12" priority="1" operator="lessThan">
      <formula>-50</formula>
    </cfRule>
    <cfRule type="cellIs" dxfId="11" priority="2" operator="greaterThan">
      <formula>50</formula>
    </cfRule>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00"/>
  <sheetViews>
    <sheetView workbookViewId="0"/>
  </sheetViews>
  <sheetFormatPr defaultColWidth="14.42578125" defaultRowHeight="15" customHeight="1"/>
  <cols>
    <col min="1" max="1" width="40" customWidth="1"/>
    <col min="2" max="14" width="11" customWidth="1"/>
    <col min="15" max="26" width="8.7109375" customWidth="1"/>
  </cols>
  <sheetData>
    <row r="1" spans="1:14" ht="18.75">
      <c r="A1" s="88" t="s">
        <v>174</v>
      </c>
      <c r="B1" s="86"/>
      <c r="C1" s="86"/>
      <c r="D1" s="86"/>
      <c r="E1" s="86"/>
      <c r="F1" s="86"/>
      <c r="G1" s="86"/>
      <c r="H1" s="86"/>
      <c r="I1" s="86"/>
      <c r="J1" s="86"/>
      <c r="K1" s="86"/>
      <c r="L1" s="86"/>
      <c r="M1" s="86"/>
      <c r="N1" s="86"/>
    </row>
    <row r="2" spans="1:14">
      <c r="A2" s="87" t="s">
        <v>175</v>
      </c>
      <c r="B2" s="86"/>
      <c r="C2" s="86"/>
      <c r="D2" s="86"/>
      <c r="E2" s="86"/>
      <c r="F2" s="86"/>
      <c r="G2" s="86"/>
      <c r="H2" s="86"/>
      <c r="I2" s="86"/>
      <c r="J2" s="86"/>
      <c r="K2" s="86"/>
      <c r="L2" s="86"/>
      <c r="M2" s="86"/>
      <c r="N2" s="86"/>
    </row>
    <row r="4" spans="1:14">
      <c r="A4" s="3" t="s">
        <v>176</v>
      </c>
      <c r="B4" s="3" t="s">
        <v>85</v>
      </c>
      <c r="C4" s="3" t="s">
        <v>86</v>
      </c>
      <c r="D4" s="3" t="s">
        <v>87</v>
      </c>
      <c r="E4" s="3" t="s">
        <v>88</v>
      </c>
      <c r="F4" s="3" t="s">
        <v>89</v>
      </c>
      <c r="G4" s="3" t="s">
        <v>90</v>
      </c>
      <c r="H4" s="3" t="s">
        <v>91</v>
      </c>
      <c r="I4" s="3" t="s">
        <v>92</v>
      </c>
      <c r="J4" s="3" t="s">
        <v>93</v>
      </c>
      <c r="K4" s="3" t="s">
        <v>94</v>
      </c>
      <c r="L4" s="3" t="s">
        <v>95</v>
      </c>
      <c r="M4" s="3" t="s">
        <v>96</v>
      </c>
      <c r="N4" s="3" t="s">
        <v>157</v>
      </c>
    </row>
    <row r="5" spans="1:14">
      <c r="A5" s="2" t="s">
        <v>177</v>
      </c>
      <c r="B5" s="5">
        <v>5000</v>
      </c>
      <c r="C5" s="5"/>
      <c r="D5" s="5">
        <v>26318</v>
      </c>
      <c r="E5" s="5"/>
      <c r="F5" s="5">
        <v>2000</v>
      </c>
      <c r="G5" s="5"/>
      <c r="H5" s="5"/>
      <c r="I5" s="5"/>
      <c r="J5" s="5"/>
      <c r="K5" s="5"/>
      <c r="L5" s="5"/>
      <c r="M5" s="5"/>
      <c r="N5" s="6">
        <f>SUM(B5:M5)</f>
        <v>33318</v>
      </c>
    </row>
    <row r="6" spans="1:14">
      <c r="A6" s="2" t="s">
        <v>178</v>
      </c>
      <c r="B6" s="28"/>
      <c r="C6" s="28"/>
      <c r="D6" s="28"/>
      <c r="E6" s="28"/>
      <c r="F6" s="28"/>
      <c r="G6" s="28"/>
      <c r="H6" s="28"/>
      <c r="I6" s="28"/>
      <c r="J6" s="28"/>
      <c r="K6" s="28"/>
      <c r="L6" s="28"/>
      <c r="M6" s="28"/>
      <c r="N6" s="6">
        <f>SUM(B6:M6)</f>
        <v>0</v>
      </c>
    </row>
    <row r="7" spans="1:14">
      <c r="A7" s="7" t="s">
        <v>179</v>
      </c>
      <c r="B7" s="8"/>
      <c r="C7" s="8"/>
      <c r="D7" s="8"/>
      <c r="E7" s="8"/>
      <c r="F7" s="8"/>
      <c r="G7" s="8"/>
      <c r="H7" s="8"/>
      <c r="I7" s="8"/>
      <c r="J7" s="8"/>
      <c r="K7" s="8"/>
      <c r="L7" s="8"/>
      <c r="M7" s="8"/>
      <c r="N7" s="8">
        <f>N5-N6</f>
        <v>33318</v>
      </c>
    </row>
    <row r="9" spans="1:14">
      <c r="A9" s="2" t="s">
        <v>180</v>
      </c>
      <c r="B9" s="28"/>
      <c r="C9" s="28"/>
      <c r="D9" s="28"/>
      <c r="E9" s="28"/>
      <c r="F9" s="28"/>
      <c r="G9" s="29">
        <v>143</v>
      </c>
      <c r="H9" s="29">
        <v>206.98</v>
      </c>
      <c r="I9" s="29">
        <v>308.95</v>
      </c>
      <c r="J9" s="28"/>
      <c r="K9" s="28"/>
      <c r="L9" s="28"/>
      <c r="M9" s="28"/>
      <c r="N9" s="6">
        <f>SUM(B9:M9)</f>
        <v>658.93000000000006</v>
      </c>
    </row>
    <row r="10" spans="1:14">
      <c r="A10" s="2" t="s">
        <v>181</v>
      </c>
      <c r="B10" s="28"/>
      <c r="C10" s="28"/>
      <c r="D10" s="28"/>
      <c r="E10" s="28"/>
      <c r="F10" s="28"/>
      <c r="G10" s="29">
        <v>87</v>
      </c>
      <c r="H10" s="29">
        <v>105.09</v>
      </c>
      <c r="I10" s="29">
        <v>122.29</v>
      </c>
      <c r="J10" s="28"/>
      <c r="K10" s="28"/>
      <c r="L10" s="28"/>
      <c r="M10" s="28"/>
      <c r="N10" s="6">
        <f>SUM(B10:M10)</f>
        <v>314.38</v>
      </c>
    </row>
    <row r="11" spans="1:14">
      <c r="A11" s="7" t="s">
        <v>182</v>
      </c>
      <c r="B11" s="8">
        <f t="shared" ref="B11:M11" si="0">B9-B10</f>
        <v>0</v>
      </c>
      <c r="C11" s="8">
        <f t="shared" si="0"/>
        <v>0</v>
      </c>
      <c r="D11" s="8">
        <f t="shared" si="0"/>
        <v>0</v>
      </c>
      <c r="E11" s="8">
        <f t="shared" si="0"/>
        <v>0</v>
      </c>
      <c r="F11" s="8">
        <f t="shared" si="0"/>
        <v>0</v>
      </c>
      <c r="G11" s="8">
        <f t="shared" si="0"/>
        <v>56</v>
      </c>
      <c r="H11" s="8">
        <f t="shared" si="0"/>
        <v>101.88999999999999</v>
      </c>
      <c r="I11" s="8">
        <f t="shared" si="0"/>
        <v>186.65999999999997</v>
      </c>
      <c r="J11" s="8">
        <f t="shared" si="0"/>
        <v>0</v>
      </c>
      <c r="K11" s="8">
        <f t="shared" si="0"/>
        <v>0</v>
      </c>
      <c r="L11" s="8">
        <f t="shared" si="0"/>
        <v>0</v>
      </c>
      <c r="M11" s="8">
        <f t="shared" si="0"/>
        <v>0</v>
      </c>
      <c r="N11" s="8">
        <f>SUM(B11:M11)</f>
        <v>344.54999999999995</v>
      </c>
    </row>
    <row r="12" spans="1:14">
      <c r="A12" s="2" t="s">
        <v>183</v>
      </c>
      <c r="B12" s="6">
        <f>B11</f>
        <v>0</v>
      </c>
      <c r="C12" s="6">
        <f t="shared" ref="C12:M12" si="1">B12+C11</f>
        <v>0</v>
      </c>
      <c r="D12" s="6">
        <f t="shared" si="1"/>
        <v>0</v>
      </c>
      <c r="E12" s="6">
        <f t="shared" si="1"/>
        <v>0</v>
      </c>
      <c r="F12" s="6">
        <f t="shared" si="1"/>
        <v>0</v>
      </c>
      <c r="G12" s="6">
        <f t="shared" si="1"/>
        <v>56</v>
      </c>
      <c r="H12" s="6">
        <f t="shared" si="1"/>
        <v>157.88999999999999</v>
      </c>
      <c r="I12" s="6">
        <f t="shared" si="1"/>
        <v>344.54999999999995</v>
      </c>
      <c r="J12" s="6">
        <f t="shared" si="1"/>
        <v>344.54999999999995</v>
      </c>
      <c r="K12" s="6">
        <f t="shared" si="1"/>
        <v>344.54999999999995</v>
      </c>
      <c r="L12" s="6">
        <f t="shared" si="1"/>
        <v>344.54999999999995</v>
      </c>
      <c r="M12" s="6">
        <f t="shared" si="1"/>
        <v>344.54999999999995</v>
      </c>
      <c r="N12" s="6"/>
    </row>
    <row r="14" spans="1:14">
      <c r="A14" s="10" t="s">
        <v>184</v>
      </c>
    </row>
    <row r="15" spans="1:14">
      <c r="A15" s="2" t="s">
        <v>185</v>
      </c>
      <c r="B15" s="6">
        <f>N7</f>
        <v>33318</v>
      </c>
    </row>
    <row r="16" spans="1:14">
      <c r="A16" s="2" t="s">
        <v>186</v>
      </c>
      <c r="B16" s="6">
        <f>IFERROR(AVERAGEIF(B11:M11,"&lt;&gt;0"),0)</f>
        <v>114.84999999999998</v>
      </c>
    </row>
    <row r="17" spans="1:14">
      <c r="A17" s="2" t="s">
        <v>187</v>
      </c>
      <c r="B17" s="6">
        <f>B16*12</f>
        <v>1378.1999999999998</v>
      </c>
    </row>
    <row r="18" spans="1:14">
      <c r="A18" s="2" t="s">
        <v>188</v>
      </c>
      <c r="B18" s="11">
        <f>IFERROR(B15/B17,"-")</f>
        <v>24.175010883761431</v>
      </c>
    </row>
    <row r="19" spans="1:14">
      <c r="A19" s="2" t="s">
        <v>189</v>
      </c>
      <c r="B19" s="12">
        <f>IFERROR(N12/B15,0)</f>
        <v>0</v>
      </c>
    </row>
    <row r="21" spans="1:14" ht="15.75" customHeight="1">
      <c r="A21" s="89" t="s">
        <v>190</v>
      </c>
      <c r="B21" s="86"/>
      <c r="C21" s="86"/>
      <c r="D21" s="86"/>
      <c r="E21" s="86"/>
      <c r="F21" s="86"/>
      <c r="G21" s="86"/>
      <c r="H21" s="86"/>
      <c r="I21" s="86"/>
      <c r="J21" s="86"/>
      <c r="K21" s="86"/>
      <c r="L21" s="86"/>
      <c r="M21" s="86"/>
      <c r="N21" s="86"/>
    </row>
    <row r="22" spans="1:14" ht="15.75" customHeight="1">
      <c r="A22" s="86"/>
      <c r="B22" s="86"/>
      <c r="C22" s="86"/>
      <c r="D22" s="86"/>
      <c r="E22" s="86"/>
      <c r="F22" s="86"/>
      <c r="G22" s="86"/>
      <c r="H22" s="86"/>
      <c r="I22" s="86"/>
      <c r="J22" s="86"/>
      <c r="K22" s="86"/>
      <c r="L22" s="86"/>
      <c r="M22" s="86"/>
      <c r="N22" s="86"/>
    </row>
    <row r="23" spans="1:14" ht="15.75" customHeight="1">
      <c r="A23" s="86"/>
      <c r="B23" s="86"/>
      <c r="C23" s="86"/>
      <c r="D23" s="86"/>
      <c r="E23" s="86"/>
      <c r="F23" s="86"/>
      <c r="G23" s="86"/>
      <c r="H23" s="86"/>
      <c r="I23" s="86"/>
      <c r="J23" s="86"/>
      <c r="K23" s="86"/>
      <c r="L23" s="86"/>
      <c r="M23" s="86"/>
      <c r="N23" s="86"/>
    </row>
    <row r="24" spans="1:14" ht="15.75" customHeight="1">
      <c r="A24" s="89" t="s">
        <v>191</v>
      </c>
      <c r="B24" s="86"/>
      <c r="C24" s="86"/>
      <c r="D24" s="86"/>
      <c r="E24" s="86"/>
      <c r="F24" s="86"/>
      <c r="G24" s="86"/>
      <c r="H24" s="86"/>
      <c r="I24" s="86"/>
      <c r="J24" s="86"/>
      <c r="K24" s="86"/>
      <c r="L24" s="86"/>
      <c r="M24" s="86"/>
      <c r="N24" s="86"/>
    </row>
    <row r="25" spans="1:14" ht="15.75" customHeight="1">
      <c r="A25" s="86"/>
      <c r="B25" s="86"/>
      <c r="C25" s="86"/>
      <c r="D25" s="86"/>
      <c r="E25" s="86"/>
      <c r="F25" s="86"/>
      <c r="G25" s="86"/>
      <c r="H25" s="86"/>
      <c r="I25" s="86"/>
      <c r="J25" s="86"/>
      <c r="K25" s="86"/>
      <c r="L25" s="86"/>
      <c r="M25" s="86"/>
      <c r="N25" s="86"/>
    </row>
    <row r="26" spans="1:14" ht="15.75" customHeight="1">
      <c r="A26" s="86"/>
      <c r="B26" s="86"/>
      <c r="C26" s="86"/>
      <c r="D26" s="86"/>
      <c r="E26" s="86"/>
      <c r="F26" s="86"/>
      <c r="G26" s="86"/>
      <c r="H26" s="86"/>
      <c r="I26" s="86"/>
      <c r="J26" s="86"/>
      <c r="K26" s="86"/>
      <c r="L26" s="86"/>
      <c r="M26" s="86"/>
      <c r="N26" s="86"/>
    </row>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4:N26"/>
    <mergeCell ref="A21:N23"/>
    <mergeCell ref="A2:N2"/>
    <mergeCell ref="A1:N1"/>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sheetViews>
  <sheetFormatPr defaultColWidth="14.42578125" defaultRowHeight="15" customHeight="1"/>
  <cols>
    <col min="1" max="1" width="32" customWidth="1"/>
    <col min="2" max="13" width="11" customWidth="1"/>
    <col min="14" max="26" width="8.7109375" customWidth="1"/>
  </cols>
  <sheetData>
    <row r="1" spans="1:14" ht="18.75">
      <c r="A1" s="88" t="s">
        <v>192</v>
      </c>
      <c r="B1" s="86"/>
      <c r="C1" s="86"/>
      <c r="D1" s="86"/>
      <c r="E1" s="86"/>
      <c r="F1" s="86"/>
      <c r="G1" s="86"/>
      <c r="H1" s="86"/>
      <c r="I1" s="86"/>
      <c r="J1" s="86"/>
      <c r="K1" s="86"/>
      <c r="L1" s="86"/>
      <c r="M1" s="86"/>
      <c r="N1" s="86"/>
    </row>
    <row r="2" spans="1:14">
      <c r="A2" s="87" t="s">
        <v>193</v>
      </c>
      <c r="B2" s="86"/>
      <c r="C2" s="86"/>
      <c r="D2" s="86"/>
      <c r="E2" s="86"/>
      <c r="F2" s="86"/>
      <c r="G2" s="86"/>
      <c r="H2" s="86"/>
      <c r="I2" s="86"/>
      <c r="J2" s="86"/>
      <c r="K2" s="86"/>
      <c r="L2" s="86"/>
      <c r="M2" s="86"/>
      <c r="N2" s="86"/>
    </row>
    <row r="4" spans="1:14">
      <c r="A4" s="3" t="s">
        <v>194</v>
      </c>
      <c r="B4" s="3" t="s">
        <v>85</v>
      </c>
      <c r="C4" s="3" t="s">
        <v>86</v>
      </c>
      <c r="D4" s="3" t="s">
        <v>87</v>
      </c>
      <c r="E4" s="3" t="s">
        <v>88</v>
      </c>
      <c r="F4" s="3" t="s">
        <v>89</v>
      </c>
      <c r="G4" s="3" t="s">
        <v>90</v>
      </c>
      <c r="H4" s="3" t="s">
        <v>91</v>
      </c>
      <c r="I4" s="3" t="s">
        <v>92</v>
      </c>
      <c r="J4" s="3" t="s">
        <v>93</v>
      </c>
      <c r="K4" s="3" t="s">
        <v>94</v>
      </c>
      <c r="L4" s="3" t="s">
        <v>95</v>
      </c>
      <c r="M4" s="3" t="s">
        <v>96</v>
      </c>
    </row>
    <row r="5" spans="1:14">
      <c r="A5" s="2" t="s">
        <v>195</v>
      </c>
      <c r="B5" s="5"/>
      <c r="C5" s="5"/>
      <c r="D5" s="5"/>
      <c r="E5" s="5"/>
      <c r="F5" s="5"/>
      <c r="G5" s="5"/>
      <c r="H5" s="5"/>
      <c r="I5" s="5"/>
      <c r="J5" s="5"/>
      <c r="K5" s="5"/>
      <c r="L5" s="5"/>
      <c r="M5" s="5"/>
    </row>
    <row r="6" spans="1:14">
      <c r="A6" s="2" t="s">
        <v>196</v>
      </c>
      <c r="B6" s="5"/>
      <c r="C6" s="5"/>
      <c r="D6" s="5"/>
      <c r="E6" s="5"/>
      <c r="F6" s="5">
        <v>28188.03</v>
      </c>
      <c r="G6" s="5"/>
      <c r="H6" s="5"/>
      <c r="I6" s="5"/>
      <c r="J6" s="5"/>
      <c r="K6" s="5"/>
      <c r="L6" s="5"/>
      <c r="M6" s="5"/>
    </row>
    <row r="7" spans="1:14">
      <c r="A7" s="2" t="s">
        <v>197</v>
      </c>
      <c r="B7" s="5"/>
      <c r="C7" s="5"/>
      <c r="D7" s="5"/>
      <c r="E7" s="5"/>
      <c r="F7" s="5">
        <v>75</v>
      </c>
      <c r="G7" s="5">
        <v>26</v>
      </c>
      <c r="H7" s="5"/>
      <c r="I7" s="5"/>
      <c r="J7" s="5"/>
      <c r="K7" s="5"/>
      <c r="L7" s="5"/>
      <c r="M7" s="5"/>
    </row>
    <row r="8" spans="1:14">
      <c r="A8" s="2" t="s">
        <v>198</v>
      </c>
      <c r="B8" s="5"/>
      <c r="C8" s="5"/>
      <c r="D8" s="5"/>
      <c r="E8" s="5"/>
      <c r="F8" s="5">
        <v>2929</v>
      </c>
      <c r="G8" s="5"/>
      <c r="H8" s="5"/>
      <c r="I8" s="5"/>
      <c r="J8" s="5"/>
      <c r="K8" s="5"/>
      <c r="L8" s="5"/>
      <c r="M8" s="5"/>
    </row>
    <row r="9" spans="1:14">
      <c r="A9" s="2" t="s">
        <v>199</v>
      </c>
      <c r="B9" s="5"/>
      <c r="C9" s="5"/>
      <c r="D9" s="5"/>
      <c r="E9" s="5"/>
      <c r="F9" s="5"/>
      <c r="G9" s="5"/>
      <c r="H9" s="5"/>
      <c r="I9" s="5"/>
      <c r="J9" s="5"/>
      <c r="K9" s="5"/>
      <c r="L9" s="5"/>
      <c r="M9" s="5"/>
    </row>
    <row r="10" spans="1:14">
      <c r="A10" s="2" t="s">
        <v>200</v>
      </c>
      <c r="B10" s="5"/>
      <c r="C10" s="5"/>
      <c r="D10" s="5"/>
      <c r="E10" s="5"/>
      <c r="F10" s="5">
        <v>14298</v>
      </c>
      <c r="G10" s="5"/>
      <c r="H10" s="5"/>
      <c r="I10" s="5"/>
      <c r="J10" s="5"/>
      <c r="K10" s="5"/>
      <c r="L10" s="5"/>
      <c r="M10" s="5"/>
    </row>
    <row r="11" spans="1:14">
      <c r="A11" s="2" t="s">
        <v>201</v>
      </c>
      <c r="B11" s="5"/>
      <c r="C11" s="5"/>
      <c r="D11" s="5"/>
      <c r="E11" s="5"/>
      <c r="F11" s="5"/>
      <c r="G11" s="5"/>
      <c r="H11" s="5"/>
      <c r="I11" s="5"/>
      <c r="J11" s="5"/>
      <c r="K11" s="5"/>
      <c r="L11" s="5"/>
      <c r="M11" s="5"/>
    </row>
    <row r="12" spans="1:14">
      <c r="A12" s="2" t="s">
        <v>202</v>
      </c>
      <c r="B12" s="5"/>
      <c r="C12" s="5"/>
      <c r="D12" s="5"/>
      <c r="E12" s="5"/>
      <c r="F12" s="5"/>
      <c r="G12" s="5"/>
      <c r="H12" s="5"/>
      <c r="I12" s="5"/>
      <c r="J12" s="5"/>
      <c r="K12" s="5"/>
      <c r="L12" s="5"/>
      <c r="M12" s="5"/>
    </row>
    <row r="13" spans="1:14">
      <c r="A13" s="2" t="s">
        <v>203</v>
      </c>
      <c r="B13" s="5"/>
      <c r="C13" s="5"/>
      <c r="D13" s="5"/>
      <c r="E13" s="5"/>
      <c r="F13" s="5">
        <v>228000</v>
      </c>
      <c r="G13" s="5"/>
      <c r="H13" s="5"/>
      <c r="I13" s="5"/>
      <c r="J13" s="5"/>
      <c r="K13" s="5"/>
      <c r="L13" s="5"/>
      <c r="M13" s="5"/>
    </row>
    <row r="14" spans="1:14">
      <c r="A14" s="2" t="s">
        <v>204</v>
      </c>
      <c r="B14" s="5"/>
      <c r="C14" s="5"/>
      <c r="D14" s="5"/>
      <c r="E14" s="5"/>
      <c r="F14" s="5"/>
      <c r="G14" s="5"/>
      <c r="H14" s="5"/>
      <c r="I14" s="5"/>
      <c r="J14" s="5"/>
      <c r="K14" s="5"/>
      <c r="L14" s="5"/>
      <c r="M14" s="5"/>
    </row>
    <row r="15" spans="1:14">
      <c r="A15" s="2" t="s">
        <v>205</v>
      </c>
      <c r="B15" s="5"/>
      <c r="C15" s="5"/>
      <c r="D15" s="5"/>
      <c r="E15" s="5"/>
      <c r="F15" s="5"/>
      <c r="G15" s="5"/>
      <c r="H15" s="5"/>
      <c r="I15" s="5"/>
      <c r="J15" s="5"/>
      <c r="K15" s="5"/>
      <c r="L15" s="5"/>
      <c r="M15" s="5"/>
    </row>
    <row r="16" spans="1:14">
      <c r="A16" s="2" t="s">
        <v>206</v>
      </c>
      <c r="B16" s="5"/>
      <c r="C16" s="5"/>
      <c r="D16" s="5"/>
      <c r="E16" s="5"/>
      <c r="F16" s="5"/>
      <c r="G16" s="5"/>
      <c r="H16" s="5"/>
      <c r="I16" s="5"/>
      <c r="J16" s="5"/>
      <c r="K16" s="5"/>
      <c r="L16" s="5"/>
      <c r="M16" s="5"/>
    </row>
    <row r="17" spans="1:13">
      <c r="A17" s="7" t="s">
        <v>207</v>
      </c>
      <c r="B17" s="8">
        <f t="shared" ref="B17:M17" si="0">SUM(B5:B16)</f>
        <v>0</v>
      </c>
      <c r="C17" s="8">
        <f t="shared" si="0"/>
        <v>0</v>
      </c>
      <c r="D17" s="8">
        <f t="shared" si="0"/>
        <v>0</v>
      </c>
      <c r="E17" s="8">
        <f t="shared" si="0"/>
        <v>0</v>
      </c>
      <c r="F17" s="8">
        <f t="shared" si="0"/>
        <v>273490.03000000003</v>
      </c>
      <c r="G17" s="8">
        <f t="shared" si="0"/>
        <v>26</v>
      </c>
      <c r="H17" s="8">
        <f t="shared" si="0"/>
        <v>0</v>
      </c>
      <c r="I17" s="8">
        <f t="shared" si="0"/>
        <v>0</v>
      </c>
      <c r="J17" s="8">
        <f t="shared" si="0"/>
        <v>0</v>
      </c>
      <c r="K17" s="8">
        <f t="shared" si="0"/>
        <v>0</v>
      </c>
      <c r="L17" s="8">
        <f t="shared" si="0"/>
        <v>0</v>
      </c>
      <c r="M17" s="8">
        <f t="shared" si="0"/>
        <v>0</v>
      </c>
    </row>
    <row r="18" spans="1:13">
      <c r="A18" s="2" t="s">
        <v>208</v>
      </c>
      <c r="B18" s="6"/>
      <c r="C18" s="6">
        <f t="shared" ref="C18:M18" si="1">IF(B17=0,0,C17-B17)</f>
        <v>0</v>
      </c>
      <c r="D18" s="6">
        <f t="shared" si="1"/>
        <v>0</v>
      </c>
      <c r="E18" s="6">
        <f t="shared" si="1"/>
        <v>0</v>
      </c>
      <c r="F18" s="6">
        <f t="shared" si="1"/>
        <v>0</v>
      </c>
      <c r="G18" s="6">
        <f t="shared" si="1"/>
        <v>-273464.03000000003</v>
      </c>
      <c r="H18" s="6">
        <f t="shared" si="1"/>
        <v>-26</v>
      </c>
      <c r="I18" s="6">
        <f t="shared" si="1"/>
        <v>0</v>
      </c>
      <c r="J18" s="6">
        <f t="shared" si="1"/>
        <v>0</v>
      </c>
      <c r="K18" s="6">
        <f t="shared" si="1"/>
        <v>0</v>
      </c>
      <c r="L18" s="6">
        <f t="shared" si="1"/>
        <v>0</v>
      </c>
      <c r="M18" s="6">
        <f t="shared" si="1"/>
        <v>0</v>
      </c>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N2"/>
    <mergeCell ref="A1:N1"/>
  </mergeCells>
  <conditionalFormatting sqref="C18:M18">
    <cfRule type="cellIs" dxfId="10" priority="1" operator="lessThan">
      <formula>0</formula>
    </cfRule>
    <cfRule type="cellIs" dxfId="9" priority="2" operator="greaterThan">
      <formula>0</formula>
    </cfRule>
  </conditionalFormatting>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2578125" defaultRowHeight="15" customHeight="1"/>
  <cols>
    <col min="1" max="1" width="38" customWidth="1"/>
    <col min="2" max="3" width="14" customWidth="1"/>
    <col min="4" max="4" width="18" customWidth="1"/>
    <col min="5" max="5" width="10" customWidth="1"/>
    <col min="6" max="6" width="77.42578125" customWidth="1"/>
    <col min="7" max="26" width="8.7109375" customWidth="1"/>
  </cols>
  <sheetData>
    <row r="1" spans="1:6" ht="18.75">
      <c r="A1" s="88" t="s">
        <v>209</v>
      </c>
      <c r="B1" s="86"/>
      <c r="C1" s="86"/>
      <c r="D1" s="86"/>
      <c r="E1" s="86"/>
      <c r="F1" s="86"/>
    </row>
    <row r="2" spans="1:6">
      <c r="A2" s="87" t="s">
        <v>210</v>
      </c>
      <c r="B2" s="86"/>
      <c r="C2" s="86"/>
      <c r="D2" s="86"/>
      <c r="E2" s="86"/>
      <c r="F2" s="86"/>
    </row>
    <row r="4" spans="1:6">
      <c r="A4" s="4" t="s">
        <v>211</v>
      </c>
      <c r="B4" s="4"/>
      <c r="C4" s="4"/>
      <c r="D4" s="4"/>
      <c r="E4" s="4"/>
      <c r="F4" s="4"/>
    </row>
    <row r="5" spans="1:6">
      <c r="A5" s="3" t="s">
        <v>176</v>
      </c>
      <c r="B5" s="3" t="s">
        <v>212</v>
      </c>
      <c r="C5" s="3" t="s">
        <v>157</v>
      </c>
      <c r="D5" s="3" t="s">
        <v>213</v>
      </c>
      <c r="E5" s="3" t="s">
        <v>214</v>
      </c>
      <c r="F5" s="3" t="s">
        <v>215</v>
      </c>
    </row>
    <row r="6" spans="1:6">
      <c r="A6" s="2" t="s">
        <v>216</v>
      </c>
      <c r="B6" s="6"/>
      <c r="C6" s="6">
        <v>41980</v>
      </c>
      <c r="D6" s="6"/>
      <c r="F6" s="2" t="s">
        <v>217</v>
      </c>
    </row>
    <row r="7" spans="1:6">
      <c r="A7" s="2" t="s">
        <v>218</v>
      </c>
      <c r="B7" s="13">
        <v>0.23</v>
      </c>
      <c r="C7" s="6"/>
      <c r="D7" s="6" t="s">
        <v>219</v>
      </c>
      <c r="F7" s="2" t="s">
        <v>220</v>
      </c>
    </row>
    <row r="8" spans="1:6">
      <c r="A8" s="2" t="s">
        <v>221</v>
      </c>
      <c r="B8" s="6"/>
      <c r="C8" s="6">
        <v>8794.41</v>
      </c>
      <c r="D8" s="6">
        <v>23500</v>
      </c>
      <c r="F8" s="2" t="s">
        <v>222</v>
      </c>
    </row>
    <row r="9" spans="1:6">
      <c r="A9" s="2" t="s">
        <v>223</v>
      </c>
      <c r="B9" s="6">
        <v>109.92</v>
      </c>
      <c r="C9" s="6">
        <v>1249.83</v>
      </c>
      <c r="D9" s="6">
        <v>4338</v>
      </c>
      <c r="F9" s="2" t="s">
        <v>224</v>
      </c>
    </row>
    <row r="10" spans="1:6">
      <c r="A10" s="2" t="s">
        <v>225</v>
      </c>
      <c r="B10" s="6"/>
      <c r="C10" s="6">
        <v>3164</v>
      </c>
      <c r="D10" s="6">
        <v>4338</v>
      </c>
      <c r="F10" s="2" t="s">
        <v>226</v>
      </c>
    </row>
    <row r="11" spans="1:6">
      <c r="A11" s="2" t="s">
        <v>227</v>
      </c>
      <c r="B11" s="6">
        <v>153.85</v>
      </c>
      <c r="C11" s="6">
        <v>1538.5</v>
      </c>
      <c r="D11" s="6">
        <v>4000</v>
      </c>
      <c r="E11" s="13">
        <f>C11/D11</f>
        <v>0.38462499999999999</v>
      </c>
      <c r="F11" s="2" t="s">
        <v>228</v>
      </c>
    </row>
    <row r="12" spans="1:6">
      <c r="A12" s="2" t="s">
        <v>229</v>
      </c>
      <c r="B12" s="6">
        <v>96.15</v>
      </c>
      <c r="C12" s="6">
        <v>961.5</v>
      </c>
      <c r="D12" s="6">
        <v>3300</v>
      </c>
      <c r="E12" s="13">
        <f>C12/D12</f>
        <v>0.29136363636363638</v>
      </c>
      <c r="F12" s="2" t="s">
        <v>230</v>
      </c>
    </row>
    <row r="13" spans="1:6">
      <c r="A13" s="2" t="s">
        <v>231</v>
      </c>
      <c r="B13" s="6"/>
      <c r="C13" s="6">
        <v>3634</v>
      </c>
      <c r="D13" s="6">
        <v>5250</v>
      </c>
      <c r="E13" s="13">
        <f>C13/D13</f>
        <v>0.69219047619047624</v>
      </c>
      <c r="F13" s="2" t="s">
        <v>232</v>
      </c>
    </row>
    <row r="14" spans="1:6">
      <c r="A14" s="2" t="s">
        <v>233</v>
      </c>
      <c r="B14" s="6"/>
      <c r="C14" s="6">
        <v>2964.21</v>
      </c>
      <c r="D14" s="6"/>
      <c r="F14" s="2" t="s">
        <v>234</v>
      </c>
    </row>
    <row r="15" spans="1:6">
      <c r="A15" s="2" t="s">
        <v>235</v>
      </c>
      <c r="B15" s="6"/>
      <c r="C15" s="6"/>
      <c r="D15" s="6"/>
      <c r="F15" s="2" t="s">
        <v>236</v>
      </c>
    </row>
    <row r="17" spans="1:6">
      <c r="A17" s="4" t="s">
        <v>237</v>
      </c>
      <c r="B17" s="4"/>
      <c r="C17" s="4"/>
      <c r="D17" s="4"/>
      <c r="E17" s="4"/>
      <c r="F17" s="4"/>
    </row>
    <row r="18" spans="1:6">
      <c r="A18" s="3" t="s">
        <v>176</v>
      </c>
      <c r="B18" s="3" t="s">
        <v>212</v>
      </c>
      <c r="C18" s="3" t="s">
        <v>157</v>
      </c>
      <c r="D18" s="3" t="s">
        <v>213</v>
      </c>
      <c r="E18" s="3" t="s">
        <v>214</v>
      </c>
      <c r="F18" s="3" t="s">
        <v>215</v>
      </c>
    </row>
    <row r="19" spans="1:6">
      <c r="A19" s="2" t="s">
        <v>238</v>
      </c>
      <c r="B19" s="6"/>
      <c r="C19" s="6"/>
      <c r="D19" s="6"/>
      <c r="F19" s="2" t="s">
        <v>239</v>
      </c>
    </row>
    <row r="20" spans="1:6">
      <c r="A20" s="2" t="s">
        <v>240</v>
      </c>
      <c r="B20" s="6">
        <v>0</v>
      </c>
      <c r="C20" s="6">
        <v>0</v>
      </c>
      <c r="D20" s="6">
        <v>23500</v>
      </c>
      <c r="E20" s="13" t="s">
        <v>241</v>
      </c>
      <c r="F20" s="2" t="s">
        <v>242</v>
      </c>
    </row>
    <row r="21" spans="1:6" ht="15.75" customHeight="1">
      <c r="A21" s="2" t="s">
        <v>243</v>
      </c>
      <c r="B21" s="6"/>
      <c r="C21" s="6"/>
      <c r="D21" s="6"/>
      <c r="F21" s="2" t="s">
        <v>244</v>
      </c>
    </row>
    <row r="22" spans="1:6" ht="15.75" customHeight="1">
      <c r="A22" s="2" t="s">
        <v>245</v>
      </c>
      <c r="B22" s="6"/>
      <c r="C22" s="6"/>
      <c r="D22" s="6"/>
      <c r="F22" s="2" t="s">
        <v>246</v>
      </c>
    </row>
    <row r="23" spans="1:6" ht="15.75" customHeight="1"/>
    <row r="24" spans="1:6" ht="15.75" customHeight="1">
      <c r="A24" s="4" t="s">
        <v>247</v>
      </c>
      <c r="B24" s="4"/>
      <c r="C24" s="4"/>
      <c r="D24" s="4"/>
      <c r="E24" s="4"/>
      <c r="F24" s="4"/>
    </row>
    <row r="25" spans="1:6" ht="15.75" customHeight="1">
      <c r="A25" s="3" t="s">
        <v>176</v>
      </c>
      <c r="B25" s="3" t="s">
        <v>248</v>
      </c>
      <c r="C25" s="3" t="s">
        <v>157</v>
      </c>
      <c r="D25" s="3" t="s">
        <v>249</v>
      </c>
      <c r="E25" s="3" t="s">
        <v>214</v>
      </c>
      <c r="F25" s="3" t="s">
        <v>215</v>
      </c>
    </row>
    <row r="26" spans="1:6" ht="15.75" customHeight="1">
      <c r="A26" s="2" t="s">
        <v>250</v>
      </c>
      <c r="B26" s="6">
        <v>100</v>
      </c>
      <c r="C26" s="6">
        <f>B26*5</f>
        <v>500</v>
      </c>
      <c r="D26" s="6">
        <v>2000</v>
      </c>
      <c r="E26" s="13">
        <f>C26/D26</f>
        <v>0.25</v>
      </c>
      <c r="F26" s="2" t="s">
        <v>251</v>
      </c>
    </row>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1:F1"/>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sheetViews>
  <sheetFormatPr defaultColWidth="14.42578125" defaultRowHeight="15" customHeight="1"/>
  <cols>
    <col min="1" max="1" width="50" customWidth="1"/>
    <col min="2" max="2" width="24" customWidth="1"/>
    <col min="3" max="3" width="26.42578125" customWidth="1"/>
    <col min="4" max="6" width="24" customWidth="1"/>
    <col min="7" max="26" width="8.7109375" customWidth="1"/>
  </cols>
  <sheetData>
    <row r="1" spans="1:6" ht="18.75">
      <c r="A1" s="88" t="s">
        <v>252</v>
      </c>
      <c r="B1" s="86"/>
      <c r="C1" s="86"/>
      <c r="D1" s="86"/>
      <c r="E1" s="86"/>
      <c r="F1" s="86"/>
    </row>
    <row r="2" spans="1:6">
      <c r="A2" s="87" t="s">
        <v>253</v>
      </c>
      <c r="B2" s="86"/>
      <c r="C2" s="86"/>
      <c r="D2" s="86"/>
      <c r="E2" s="86"/>
      <c r="F2" s="86"/>
    </row>
    <row r="4" spans="1:6">
      <c r="A4" s="4" t="s">
        <v>254</v>
      </c>
      <c r="B4" s="4"/>
      <c r="C4" s="4"/>
      <c r="D4" s="4"/>
      <c r="E4" s="4"/>
      <c r="F4" s="4"/>
    </row>
    <row r="5" spans="1:6">
      <c r="A5" s="2" t="s">
        <v>255</v>
      </c>
      <c r="B5" s="14">
        <v>7.0000000000000007E-2</v>
      </c>
      <c r="C5" s="2" t="s">
        <v>256</v>
      </c>
    </row>
    <row r="6" spans="1:6">
      <c r="A6" s="2" t="s">
        <v>257</v>
      </c>
      <c r="B6" s="15">
        <v>20</v>
      </c>
    </row>
    <row r="7" spans="1:6">
      <c r="A7" s="2" t="s">
        <v>258</v>
      </c>
      <c r="B7" s="14">
        <v>0.05</v>
      </c>
    </row>
    <row r="8" spans="1:6">
      <c r="A8" s="2" t="s">
        <v>259</v>
      </c>
      <c r="B8" s="14">
        <v>0.22</v>
      </c>
    </row>
    <row r="10" spans="1:6">
      <c r="A10" s="4" t="s">
        <v>260</v>
      </c>
      <c r="B10" s="4"/>
      <c r="C10" s="4"/>
      <c r="D10" s="4"/>
      <c r="E10" s="4"/>
      <c r="F10" s="4"/>
    </row>
    <row r="11" spans="1:6">
      <c r="A11" s="3" t="s">
        <v>261</v>
      </c>
      <c r="B11" s="3" t="s">
        <v>262</v>
      </c>
      <c r="C11" s="3" t="s">
        <v>263</v>
      </c>
      <c r="D11" s="3" t="s">
        <v>264</v>
      </c>
      <c r="E11" s="3" t="s">
        <v>265</v>
      </c>
      <c r="F11" s="3" t="s">
        <v>266</v>
      </c>
    </row>
    <row r="12" spans="1:6">
      <c r="A12" s="2" t="s">
        <v>267</v>
      </c>
      <c r="B12" s="16">
        <v>0</v>
      </c>
      <c r="C12" s="17">
        <v>0</v>
      </c>
      <c r="D12" s="16">
        <v>0</v>
      </c>
      <c r="E12" s="15">
        <v>0</v>
      </c>
      <c r="F12" s="6">
        <f>D12*E12-B12</f>
        <v>0</v>
      </c>
    </row>
    <row r="13" spans="1:6">
      <c r="A13" s="2" t="s">
        <v>268</v>
      </c>
      <c r="B13" s="16">
        <v>14374</v>
      </c>
      <c r="C13" s="17">
        <v>6.3500000000000001E-2</v>
      </c>
      <c r="D13" s="16">
        <v>384.16</v>
      </c>
      <c r="E13" s="15">
        <v>48</v>
      </c>
      <c r="F13" s="6">
        <f>D13*E13-B13</f>
        <v>4065.6800000000003</v>
      </c>
    </row>
    <row r="14" spans="1:6">
      <c r="A14" s="2" t="s">
        <v>269</v>
      </c>
      <c r="B14" s="16">
        <v>350000</v>
      </c>
      <c r="C14" s="17">
        <v>5.7500000000000002E-2</v>
      </c>
      <c r="D14" s="16">
        <v>3289</v>
      </c>
      <c r="E14" s="15">
        <v>320</v>
      </c>
      <c r="F14" s="6">
        <f>D14*E14-B14</f>
        <v>702480</v>
      </c>
    </row>
    <row r="16" spans="1:6">
      <c r="A16" s="4" t="s">
        <v>270</v>
      </c>
      <c r="B16" s="4"/>
      <c r="C16" s="4"/>
      <c r="D16" s="4"/>
      <c r="E16" s="4"/>
      <c r="F16" s="4"/>
    </row>
    <row r="17" spans="1:6" ht="30">
      <c r="A17" s="18" t="s">
        <v>271</v>
      </c>
      <c r="B17" s="18" t="s">
        <v>272</v>
      </c>
      <c r="C17" s="19" t="s">
        <v>273</v>
      </c>
      <c r="D17" s="19" t="s">
        <v>274</v>
      </c>
      <c r="E17" s="19" t="s">
        <v>275</v>
      </c>
      <c r="F17" s="19" t="s">
        <v>276</v>
      </c>
    </row>
    <row r="18" spans="1:6">
      <c r="A18" s="2" t="s">
        <v>277</v>
      </c>
      <c r="B18" s="6">
        <v>0</v>
      </c>
      <c r="C18" s="6">
        <f>-300</f>
        <v>-300</v>
      </c>
      <c r="D18" s="6">
        <f>451-1167</f>
        <v>-716</v>
      </c>
      <c r="E18" s="6">
        <f>451-300</f>
        <v>151</v>
      </c>
      <c r="F18" s="6">
        <f>451-1167-300-200</f>
        <v>-1216</v>
      </c>
    </row>
    <row r="19" spans="1:6">
      <c r="A19" s="2" t="s">
        <v>278</v>
      </c>
      <c r="B19" s="6">
        <v>0</v>
      </c>
      <c r="C19" s="6">
        <f>300*12</f>
        <v>3600</v>
      </c>
      <c r="D19" s="6">
        <f>14000</f>
        <v>14000</v>
      </c>
      <c r="E19" s="6">
        <f>300*12</f>
        <v>3600</v>
      </c>
      <c r="F19" s="6">
        <f>300*12+14000+200*12</f>
        <v>20000</v>
      </c>
    </row>
    <row r="20" spans="1:6">
      <c r="A20" s="2" t="s">
        <v>279</v>
      </c>
      <c r="B20" s="6">
        <v>0</v>
      </c>
      <c r="C20" s="6">
        <f>300*12*($B$8+$B$7)</f>
        <v>972.00000000000011</v>
      </c>
      <c r="D20" s="6">
        <f>0</f>
        <v>0</v>
      </c>
      <c r="E20" s="6">
        <f>300*12*($B$8+$B$7)</f>
        <v>972.00000000000011</v>
      </c>
      <c r="F20" s="6">
        <f>300*12*($B$8+$B$7)+MIN(200*12,2000)*$B$7</f>
        <v>1072</v>
      </c>
    </row>
    <row r="21" spans="1:6" ht="15.75" customHeight="1">
      <c r="A21" s="2" t="s">
        <v>280</v>
      </c>
      <c r="B21" s="6">
        <v>0</v>
      </c>
      <c r="C21" s="6">
        <f>0</f>
        <v>0</v>
      </c>
      <c r="D21" s="6">
        <f>F12</f>
        <v>0</v>
      </c>
      <c r="E21" s="6">
        <f>F12</f>
        <v>0</v>
      </c>
      <c r="F21" s="6">
        <f>F12</f>
        <v>0</v>
      </c>
    </row>
    <row r="22" spans="1:6" ht="15.75" customHeight="1">
      <c r="A22" s="2" t="s">
        <v>281</v>
      </c>
      <c r="B22" s="6">
        <v>0</v>
      </c>
      <c r="C22" s="6">
        <f>300*((((1+$B$5/12)^($B$6*12))-1)/($B$5/12))</f>
        <v>156277.99794765504</v>
      </c>
      <c r="D22" s="6">
        <f>(14000/12)*((((1+$B$5/12)^($B$6*12))-1)/($B$5/12))</f>
        <v>607747.7697964363</v>
      </c>
      <c r="E22" s="6">
        <f>300*((((1+$B$5/12)^($B$6*12))-1)/($B$5/12))</f>
        <v>156277.99794765504</v>
      </c>
      <c r="F22" s="6">
        <f>(300+200)*((((1+$B$5/12)^($B$6*12))-1)/($B$5/12))+(14000/12)*((((1+$B$5/12)^($B$6*12))-1)/($B$5/12))</f>
        <v>868211.09970919474</v>
      </c>
    </row>
    <row r="23" spans="1:6" ht="15.75" customHeight="1">
      <c r="A23" s="2" t="s">
        <v>282</v>
      </c>
      <c r="B23" s="6">
        <f>B22+B21+B20*$B$6</f>
        <v>0</v>
      </c>
      <c r="C23" s="6">
        <f>C22+C21+C20*$B$6</f>
        <v>175717.99794765504</v>
      </c>
      <c r="D23" s="6">
        <f>D22+D21+D20*$B$6</f>
        <v>607747.7697964363</v>
      </c>
      <c r="E23" s="6">
        <f>E22+E21+E20*$B$6</f>
        <v>175717.99794765504</v>
      </c>
      <c r="F23" s="6">
        <f>F22+F21+F20*$B$6</f>
        <v>889651.09970919474</v>
      </c>
    </row>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1:F1"/>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00"/>
  <sheetViews>
    <sheetView workbookViewId="0"/>
  </sheetViews>
  <sheetFormatPr defaultColWidth="14.42578125" defaultRowHeight="15" customHeight="1"/>
  <cols>
    <col min="1" max="1" width="80" customWidth="1"/>
    <col min="2" max="26" width="8.7109375" customWidth="1"/>
  </cols>
  <sheetData>
    <row r="1" spans="1:13" ht="18.75">
      <c r="A1" s="88" t="s">
        <v>283</v>
      </c>
      <c r="B1" s="86"/>
      <c r="C1" s="86"/>
      <c r="D1" s="86"/>
      <c r="E1" s="86"/>
      <c r="F1" s="86"/>
    </row>
    <row r="2" spans="1:13">
      <c r="A2" s="87" t="s">
        <v>284</v>
      </c>
      <c r="B2" s="86"/>
      <c r="C2" s="86"/>
      <c r="D2" s="86"/>
      <c r="E2" s="86"/>
      <c r="F2" s="86"/>
    </row>
    <row r="4" spans="1:13">
      <c r="A4" s="20" t="s">
        <v>285</v>
      </c>
    </row>
    <row r="5" spans="1:13">
      <c r="A5" s="2" t="s">
        <v>286</v>
      </c>
      <c r="B5" s="2" t="s">
        <v>85</v>
      </c>
      <c r="C5" s="2" t="s">
        <v>86</v>
      </c>
      <c r="D5" s="2" t="s">
        <v>87</v>
      </c>
      <c r="E5" s="2" t="s">
        <v>88</v>
      </c>
      <c r="F5" s="2" t="s">
        <v>89</v>
      </c>
      <c r="G5" s="2" t="s">
        <v>90</v>
      </c>
      <c r="H5" s="2" t="s">
        <v>91</v>
      </c>
      <c r="I5" s="2" t="s">
        <v>92</v>
      </c>
      <c r="J5" s="2" t="s">
        <v>93</v>
      </c>
      <c r="K5" s="2" t="s">
        <v>94</v>
      </c>
      <c r="L5" s="2" t="s">
        <v>95</v>
      </c>
      <c r="M5" s="2" t="s">
        <v>96</v>
      </c>
    </row>
    <row r="6" spans="1:13">
      <c r="A6" s="2" t="s">
        <v>108</v>
      </c>
      <c r="B6" s="21">
        <f>'Income Statement'!B15</f>
        <v>11876.789999999999</v>
      </c>
      <c r="C6" s="21">
        <f>'Income Statement'!C15</f>
        <v>11401.02</v>
      </c>
      <c r="D6" s="21">
        <f>'Income Statement'!D15</f>
        <v>10429.19</v>
      </c>
      <c r="E6" s="21">
        <f>'Income Statement'!E15</f>
        <v>16039.88</v>
      </c>
      <c r="F6" s="21">
        <f>'Income Statement'!F15</f>
        <v>12772.920000000002</v>
      </c>
      <c r="G6" s="21">
        <f>'Income Statement'!G15</f>
        <v>90.949999999999989</v>
      </c>
      <c r="H6" s="21">
        <f>'Income Statement'!H15</f>
        <v>0</v>
      </c>
      <c r="I6" s="21">
        <f>'Income Statement'!I15</f>
        <v>0</v>
      </c>
      <c r="J6" s="21">
        <f>'Income Statement'!J15</f>
        <v>0</v>
      </c>
      <c r="K6" s="21">
        <f>'Income Statement'!K15</f>
        <v>0</v>
      </c>
      <c r="L6" s="21">
        <f>'Income Statement'!L15</f>
        <v>0</v>
      </c>
      <c r="M6" s="21">
        <f>'Income Statement'!M15</f>
        <v>0</v>
      </c>
    </row>
    <row r="7" spans="1:13">
      <c r="A7" s="2" t="s">
        <v>287</v>
      </c>
      <c r="B7" s="2">
        <f>'Income Statement'!B61</f>
        <v>0</v>
      </c>
      <c r="C7" s="2">
        <f>'Income Statement'!C61</f>
        <v>0</v>
      </c>
      <c r="D7" s="2">
        <f>'Income Statement'!D61</f>
        <v>0</v>
      </c>
      <c r="E7" s="2">
        <f>'Income Statement'!E61</f>
        <v>0</v>
      </c>
      <c r="F7" s="2">
        <f>'Income Statement'!F61</f>
        <v>0</v>
      </c>
      <c r="G7" s="2">
        <f>'Income Statement'!G61</f>
        <v>0</v>
      </c>
      <c r="H7" s="2">
        <f>'Income Statement'!H61</f>
        <v>0</v>
      </c>
      <c r="I7" s="2">
        <f>'Income Statement'!I61</f>
        <v>0</v>
      </c>
      <c r="J7" s="2">
        <f>'Income Statement'!J61</f>
        <v>0</v>
      </c>
      <c r="K7" s="2">
        <f>'Income Statement'!K61</f>
        <v>0</v>
      </c>
      <c r="L7" s="2">
        <f>'Income Statement'!L61</f>
        <v>0</v>
      </c>
      <c r="M7" s="2">
        <f>'Income Statement'!M61</f>
        <v>0</v>
      </c>
    </row>
    <row r="8" spans="1:13">
      <c r="A8" s="2" t="s">
        <v>288</v>
      </c>
      <c r="B8" s="2">
        <f>'Income Statement'!B63</f>
        <v>0</v>
      </c>
      <c r="C8" s="2">
        <f>'Income Statement'!C63</f>
        <v>0</v>
      </c>
      <c r="D8" s="2">
        <f>'Income Statement'!D63</f>
        <v>0</v>
      </c>
      <c r="E8" s="2">
        <f>'Income Statement'!E63</f>
        <v>0</v>
      </c>
      <c r="F8" s="2">
        <f>'Income Statement'!F63</f>
        <v>0</v>
      </c>
      <c r="G8" s="2">
        <f>'Income Statement'!G63</f>
        <v>0</v>
      </c>
      <c r="H8" s="2">
        <f>'Income Statement'!H63</f>
        <v>0</v>
      </c>
      <c r="I8" s="2">
        <f>'Income Statement'!I63</f>
        <v>0</v>
      </c>
      <c r="J8" s="2">
        <f>'Income Statement'!J63</f>
        <v>0</v>
      </c>
      <c r="K8" s="2">
        <f>'Income Statement'!K63</f>
        <v>0</v>
      </c>
      <c r="L8" s="2">
        <f>'Income Statement'!L63</f>
        <v>0</v>
      </c>
      <c r="M8" s="2">
        <f>'Income Statement'!M63</f>
        <v>0</v>
      </c>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c r="A28" s="20" t="s">
        <v>289</v>
      </c>
    </row>
    <row r="29" spans="1:13" ht="15.75" customHeight="1">
      <c r="A29" s="2" t="s">
        <v>286</v>
      </c>
      <c r="B29" s="2" t="s">
        <v>85</v>
      </c>
      <c r="C29" s="2" t="s">
        <v>86</v>
      </c>
      <c r="D29" s="2" t="s">
        <v>87</v>
      </c>
      <c r="E29" s="2" t="s">
        <v>88</v>
      </c>
      <c r="F29" s="2" t="s">
        <v>89</v>
      </c>
      <c r="G29" s="2" t="s">
        <v>90</v>
      </c>
      <c r="H29" s="2" t="s">
        <v>91</v>
      </c>
      <c r="I29" s="2" t="s">
        <v>92</v>
      </c>
      <c r="J29" s="2" t="s">
        <v>93</v>
      </c>
      <c r="K29" s="2" t="s">
        <v>94</v>
      </c>
      <c r="L29" s="2" t="s">
        <v>95</v>
      </c>
      <c r="M29" s="2" t="s">
        <v>96</v>
      </c>
    </row>
    <row r="30" spans="1:13" ht="15.75" customHeight="1">
      <c r="A30" s="2" t="s">
        <v>183</v>
      </c>
      <c r="B30" s="21">
        <f>'Solar ROI'!B12</f>
        <v>0</v>
      </c>
      <c r="C30" s="21">
        <f>'Solar ROI'!C12</f>
        <v>0</v>
      </c>
      <c r="D30" s="21">
        <f>'Solar ROI'!D12</f>
        <v>0</v>
      </c>
      <c r="E30" s="21">
        <f>'Solar ROI'!E12</f>
        <v>0</v>
      </c>
      <c r="F30" s="21">
        <f>'Solar ROI'!F12</f>
        <v>0</v>
      </c>
      <c r="G30" s="21">
        <f>'Solar ROI'!G12</f>
        <v>56</v>
      </c>
      <c r="H30" s="21">
        <f>'Solar ROI'!H12</f>
        <v>157.88999999999999</v>
      </c>
      <c r="I30" s="21">
        <f>'Solar ROI'!I12</f>
        <v>344.54999999999995</v>
      </c>
      <c r="J30" s="21">
        <f>'Solar ROI'!J12</f>
        <v>344.54999999999995</v>
      </c>
      <c r="K30" s="21">
        <f>'Solar ROI'!K12</f>
        <v>344.54999999999995</v>
      </c>
      <c r="L30" s="21">
        <f>'Solar ROI'!L12</f>
        <v>344.54999999999995</v>
      </c>
      <c r="M30" s="21">
        <f>'Solar ROI'!M12</f>
        <v>344.54999999999995</v>
      </c>
    </row>
    <row r="31" spans="1:13" ht="15.75" customHeight="1">
      <c r="A31" s="2" t="s">
        <v>290</v>
      </c>
      <c r="B31" s="21">
        <f>'Solar ROI'!$N$7</f>
        <v>33318</v>
      </c>
      <c r="C31" s="21">
        <f>'Solar ROI'!$N$7</f>
        <v>33318</v>
      </c>
      <c r="D31" s="21">
        <f>'Solar ROI'!$N$7</f>
        <v>33318</v>
      </c>
      <c r="E31" s="21">
        <f>'Solar ROI'!$N$7</f>
        <v>33318</v>
      </c>
      <c r="F31" s="21">
        <f>'Solar ROI'!$N$7</f>
        <v>33318</v>
      </c>
      <c r="G31" s="21">
        <f>'Solar ROI'!$N$7</f>
        <v>33318</v>
      </c>
      <c r="H31" s="21">
        <f>'Solar ROI'!$N$7</f>
        <v>33318</v>
      </c>
      <c r="I31" s="21">
        <f>'Solar ROI'!$N$7</f>
        <v>33318</v>
      </c>
      <c r="J31" s="21">
        <f>'Solar ROI'!$N$7</f>
        <v>33318</v>
      </c>
      <c r="K31" s="21">
        <f>'Solar ROI'!$N$7</f>
        <v>33318</v>
      </c>
      <c r="L31" s="21">
        <f>'Solar ROI'!$N$7</f>
        <v>33318</v>
      </c>
      <c r="M31" s="21">
        <f>'Solar ROI'!$N$7</f>
        <v>33318</v>
      </c>
    </row>
    <row r="32" spans="1:13" ht="15.75" customHeight="1"/>
    <row r="33" spans="1:13" ht="15.75" customHeight="1"/>
    <row r="34" spans="1:13" ht="15.75" customHeight="1"/>
    <row r="35" spans="1:13" ht="15.75" customHeight="1"/>
    <row r="36" spans="1:13" ht="15.75" customHeight="1"/>
    <row r="37" spans="1:13" ht="15.75" customHeight="1"/>
    <row r="38" spans="1:13" ht="15.75" customHeight="1"/>
    <row r="39" spans="1:13" ht="15.75" customHeight="1"/>
    <row r="40" spans="1:13" ht="15.75" customHeight="1"/>
    <row r="41" spans="1:13" ht="15.75" customHeight="1"/>
    <row r="42" spans="1:13" ht="15.75" customHeight="1"/>
    <row r="43" spans="1:13" ht="15.75" customHeight="1"/>
    <row r="44" spans="1:13" ht="15.75" customHeight="1"/>
    <row r="45" spans="1:13" ht="15.75" customHeight="1">
      <c r="A45" s="20" t="s">
        <v>291</v>
      </c>
    </row>
    <row r="46" spans="1:13" ht="15.75" customHeight="1">
      <c r="A46" s="2" t="s">
        <v>286</v>
      </c>
      <c r="B46" s="2" t="s">
        <v>85</v>
      </c>
      <c r="C46" s="2" t="s">
        <v>86</v>
      </c>
      <c r="D46" s="2" t="s">
        <v>87</v>
      </c>
      <c r="E46" s="2" t="s">
        <v>88</v>
      </c>
      <c r="F46" s="2" t="s">
        <v>89</v>
      </c>
      <c r="G46" s="2" t="s">
        <v>90</v>
      </c>
      <c r="H46" s="2" t="s">
        <v>91</v>
      </c>
      <c r="I46" s="2" t="s">
        <v>92</v>
      </c>
      <c r="J46" s="2" t="s">
        <v>93</v>
      </c>
      <c r="K46" s="2" t="s">
        <v>94</v>
      </c>
      <c r="L46" s="2" t="s">
        <v>95</v>
      </c>
      <c r="M46" s="2" t="s">
        <v>96</v>
      </c>
    </row>
    <row r="47" spans="1:13" ht="15.75" customHeight="1">
      <c r="A47" s="2" t="s">
        <v>207</v>
      </c>
      <c r="B47" s="21">
        <f>Balances!B17</f>
        <v>0</v>
      </c>
      <c r="C47" s="21">
        <f>Balances!C17</f>
        <v>0</v>
      </c>
      <c r="D47" s="21">
        <f>Balances!D17</f>
        <v>0</v>
      </c>
      <c r="E47" s="21">
        <f>Balances!E17</f>
        <v>0</v>
      </c>
      <c r="F47" s="21">
        <f>Balances!F17</f>
        <v>273490.03000000003</v>
      </c>
      <c r="G47" s="21">
        <f>Balances!G17</f>
        <v>26</v>
      </c>
      <c r="H47" s="21">
        <f>Balances!H17</f>
        <v>0</v>
      </c>
      <c r="I47" s="21">
        <f>Balances!I17</f>
        <v>0</v>
      </c>
      <c r="J47" s="21">
        <f>Balances!J17</f>
        <v>0</v>
      </c>
      <c r="K47" s="21">
        <f>Balances!K17</f>
        <v>0</v>
      </c>
      <c r="L47" s="21">
        <f>Balances!L17</f>
        <v>0</v>
      </c>
      <c r="M47" s="21">
        <f>Balances!M17</f>
        <v>0</v>
      </c>
    </row>
    <row r="48" spans="1: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1:F1"/>
  </mergeCell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0"/>
  <sheetViews>
    <sheetView workbookViewId="0">
      <pane ySplit="4" topLeftCell="A5" activePane="bottomLeft" state="frozen"/>
      <selection pane="bottomLeft" activeCell="B6" sqref="B6"/>
    </sheetView>
  </sheetViews>
  <sheetFormatPr defaultColWidth="14.42578125" defaultRowHeight="15" customHeight="1"/>
  <cols>
    <col min="1" max="1" width="14" customWidth="1"/>
    <col min="2" max="2" width="74.28515625" customWidth="1"/>
    <col min="3" max="6" width="14" customWidth="1"/>
    <col min="7" max="7" width="22" customWidth="1"/>
    <col min="8" max="26" width="8.7109375" customWidth="1"/>
  </cols>
  <sheetData>
    <row r="1" spans="1:7" ht="18.75">
      <c r="A1" s="9" t="s">
        <v>292</v>
      </c>
    </row>
    <row r="2" spans="1:7">
      <c r="A2" s="87" t="s">
        <v>293</v>
      </c>
      <c r="B2" s="86"/>
      <c r="C2" s="86"/>
      <c r="D2" s="86"/>
      <c r="E2" s="86"/>
      <c r="F2" s="86"/>
      <c r="G2" s="86"/>
    </row>
    <row r="4" spans="1:7">
      <c r="A4" s="3" t="s">
        <v>294</v>
      </c>
      <c r="B4" s="3" t="s">
        <v>295</v>
      </c>
      <c r="C4" s="3" t="s">
        <v>296</v>
      </c>
      <c r="D4" s="3" t="s">
        <v>297</v>
      </c>
      <c r="E4" s="3" t="s">
        <v>298</v>
      </c>
      <c r="F4" s="3" t="s">
        <v>262</v>
      </c>
      <c r="G4" s="3" t="s">
        <v>299</v>
      </c>
    </row>
    <row r="5" spans="1:7">
      <c r="A5" s="22"/>
      <c r="B5" s="23"/>
      <c r="C5" s="24"/>
      <c r="D5" s="23"/>
      <c r="E5" s="22"/>
      <c r="F5" s="22"/>
      <c r="G5" s="2"/>
    </row>
    <row r="6" spans="1:7">
      <c r="A6" s="22"/>
      <c r="B6" s="23"/>
      <c r="C6" s="24"/>
      <c r="D6" s="23"/>
      <c r="E6" s="22"/>
      <c r="F6" s="22"/>
      <c r="G6" s="2"/>
    </row>
    <row r="7" spans="1:7">
      <c r="A7" s="22"/>
      <c r="B7" s="23"/>
      <c r="C7" s="24"/>
      <c r="D7" s="23"/>
      <c r="E7" s="22"/>
      <c r="F7" s="22"/>
      <c r="G7" s="2"/>
    </row>
    <row r="8" spans="1:7">
      <c r="A8" s="22"/>
      <c r="B8" s="23"/>
      <c r="C8" s="24"/>
      <c r="D8" s="23"/>
      <c r="E8" s="22"/>
      <c r="F8" s="22"/>
      <c r="G8" s="2"/>
    </row>
    <row r="9" spans="1:7">
      <c r="A9" s="22"/>
      <c r="B9" s="23"/>
      <c r="C9" s="24"/>
      <c r="D9" s="23"/>
      <c r="E9" s="22"/>
      <c r="F9" s="22"/>
      <c r="G9" s="2"/>
    </row>
    <row r="10" spans="1:7">
      <c r="A10" s="22"/>
      <c r="B10" s="23"/>
      <c r="C10" s="24"/>
      <c r="D10" s="23"/>
      <c r="E10" s="22"/>
      <c r="F10" s="22"/>
      <c r="G10" s="2"/>
    </row>
    <row r="11" spans="1:7">
      <c r="A11" s="22"/>
      <c r="B11" s="23"/>
      <c r="C11" s="24"/>
      <c r="D11" s="23"/>
      <c r="E11" s="22"/>
      <c r="F11" s="22"/>
      <c r="G11" s="2"/>
    </row>
    <row r="12" spans="1:7">
      <c r="A12" s="22"/>
      <c r="B12" s="23"/>
      <c r="C12" s="24"/>
      <c r="D12" s="23"/>
      <c r="E12" s="22"/>
      <c r="F12" s="22"/>
      <c r="G12" s="2"/>
    </row>
    <row r="13" spans="1:7">
      <c r="A13" s="22"/>
      <c r="B13" s="23"/>
      <c r="C13" s="24"/>
      <c r="D13" s="23"/>
      <c r="E13" s="22"/>
      <c r="F13" s="22"/>
      <c r="G13" s="2"/>
    </row>
    <row r="14" spans="1:7">
      <c r="A14" s="22"/>
      <c r="B14" s="23"/>
      <c r="C14" s="24"/>
      <c r="D14" s="23"/>
      <c r="E14" s="22"/>
      <c r="F14" s="22"/>
      <c r="G14" s="2"/>
    </row>
    <row r="15" spans="1:7">
      <c r="A15" s="22"/>
      <c r="B15" s="23"/>
      <c r="C15" s="24"/>
      <c r="D15" s="23"/>
      <c r="E15" s="22"/>
      <c r="F15" s="22"/>
      <c r="G15" s="2"/>
    </row>
    <row r="16" spans="1:7">
      <c r="A16" s="22"/>
      <c r="B16" s="23"/>
      <c r="C16" s="24"/>
      <c r="D16" s="23"/>
      <c r="E16" s="22"/>
      <c r="F16" s="22"/>
      <c r="G16" s="2"/>
    </row>
    <row r="17" spans="1:7">
      <c r="A17" s="22"/>
      <c r="B17" s="23"/>
      <c r="C17" s="24"/>
      <c r="D17" s="23"/>
      <c r="E17" s="22"/>
      <c r="F17" s="22"/>
      <c r="G17" s="2"/>
    </row>
    <row r="18" spans="1:7">
      <c r="A18" s="22"/>
      <c r="B18" s="23"/>
      <c r="C18" s="24"/>
      <c r="D18" s="23"/>
      <c r="E18" s="22"/>
      <c r="F18" s="22"/>
      <c r="G18" s="2"/>
    </row>
    <row r="19" spans="1:7">
      <c r="A19" s="22"/>
      <c r="B19" s="23"/>
      <c r="C19" s="24"/>
      <c r="D19" s="23"/>
      <c r="E19" s="22"/>
      <c r="F19" s="22"/>
      <c r="G19" s="2"/>
    </row>
    <row r="20" spans="1:7">
      <c r="A20" s="22"/>
      <c r="B20" s="23"/>
      <c r="C20" s="24"/>
      <c r="D20" s="23"/>
      <c r="E20" s="22"/>
      <c r="F20" s="22"/>
      <c r="G20" s="2"/>
    </row>
    <row r="21" spans="1:7" ht="15.75" customHeight="1">
      <c r="A21" s="22"/>
      <c r="B21" s="23"/>
      <c r="C21" s="24"/>
      <c r="D21" s="23"/>
      <c r="E21" s="22"/>
      <c r="F21" s="22"/>
      <c r="G21" s="2"/>
    </row>
    <row r="22" spans="1:7" ht="15.75" customHeight="1">
      <c r="A22" s="22"/>
      <c r="B22" s="23"/>
      <c r="C22" s="24"/>
      <c r="D22" s="23"/>
      <c r="E22" s="22"/>
      <c r="F22" s="22"/>
      <c r="G22" s="2"/>
    </row>
    <row r="23" spans="1:7" ht="15.75" customHeight="1">
      <c r="A23" s="22"/>
      <c r="B23" s="23"/>
      <c r="C23" s="24"/>
      <c r="D23" s="23"/>
      <c r="E23" s="22"/>
      <c r="F23" s="22"/>
      <c r="G23" s="2"/>
    </row>
    <row r="24" spans="1:7" ht="15.75" customHeight="1">
      <c r="A24" s="22"/>
      <c r="B24" s="23"/>
      <c r="C24" s="24"/>
      <c r="D24" s="23"/>
      <c r="E24" s="22"/>
      <c r="F24" s="22"/>
      <c r="G24" s="2"/>
    </row>
    <row r="25" spans="1:7" ht="15.75" customHeight="1">
      <c r="A25" s="22"/>
      <c r="B25" s="23"/>
      <c r="C25" s="24"/>
      <c r="D25" s="23"/>
      <c r="E25" s="22"/>
      <c r="F25" s="22"/>
      <c r="G25" s="2"/>
    </row>
    <row r="26" spans="1:7" ht="15.75" customHeight="1">
      <c r="A26" s="22"/>
      <c r="B26" s="23"/>
      <c r="C26" s="24"/>
      <c r="D26" s="23"/>
      <c r="E26" s="22"/>
      <c r="F26" s="22"/>
      <c r="G26" s="2"/>
    </row>
    <row r="27" spans="1:7" ht="15.75" customHeight="1">
      <c r="A27" s="22"/>
      <c r="B27" s="23"/>
      <c r="C27" s="24"/>
      <c r="D27" s="23"/>
      <c r="E27" s="22"/>
      <c r="F27" s="22"/>
      <c r="G27" s="2"/>
    </row>
    <row r="28" spans="1:7" ht="15.75" customHeight="1">
      <c r="A28" s="22"/>
      <c r="B28" s="23"/>
      <c r="C28" s="24"/>
      <c r="D28" s="23"/>
      <c r="E28" s="22"/>
      <c r="F28" s="22"/>
      <c r="G28" s="2"/>
    </row>
    <row r="29" spans="1:7" ht="15.75" customHeight="1">
      <c r="A29" s="22"/>
      <c r="B29" s="23"/>
      <c r="C29" s="24"/>
      <c r="D29" s="23"/>
      <c r="E29" s="22"/>
      <c r="F29" s="22"/>
      <c r="G29" s="2"/>
    </row>
    <row r="30" spans="1:7" ht="15.75" customHeight="1">
      <c r="A30" s="22"/>
      <c r="B30" s="23"/>
      <c r="C30" s="24"/>
      <c r="D30" s="23"/>
      <c r="E30" s="22"/>
      <c r="F30" s="22"/>
      <c r="G30" s="2"/>
    </row>
    <row r="31" spans="1:7" ht="15.75" customHeight="1">
      <c r="A31" s="22"/>
      <c r="B31" s="23"/>
      <c r="C31" s="24"/>
      <c r="D31" s="23"/>
      <c r="E31" s="22"/>
      <c r="F31" s="22"/>
      <c r="G31" s="2"/>
    </row>
    <row r="32" spans="1:7" ht="15.75" customHeight="1">
      <c r="A32" s="22"/>
      <c r="B32" s="23"/>
      <c r="C32" s="24"/>
      <c r="D32" s="23"/>
      <c r="E32" s="22"/>
      <c r="F32" s="22"/>
      <c r="G32" s="2"/>
    </row>
    <row r="33" spans="1:7" ht="15.75" customHeight="1">
      <c r="A33" s="22"/>
      <c r="B33" s="23"/>
      <c r="C33" s="24"/>
      <c r="D33" s="23"/>
      <c r="E33" s="22"/>
      <c r="F33" s="22"/>
      <c r="G33" s="2"/>
    </row>
    <row r="34" spans="1:7" ht="15.75" customHeight="1">
      <c r="A34" s="22"/>
      <c r="B34" s="23"/>
      <c r="C34" s="24"/>
      <c r="D34" s="23"/>
      <c r="E34" s="22"/>
      <c r="F34" s="22"/>
      <c r="G34" s="2"/>
    </row>
    <row r="35" spans="1:7" ht="15.75" customHeight="1">
      <c r="A35" s="22"/>
      <c r="B35" s="23"/>
      <c r="C35" s="24"/>
      <c r="D35" s="23"/>
      <c r="E35" s="22"/>
      <c r="F35" s="22"/>
      <c r="G35" s="2"/>
    </row>
    <row r="36" spans="1:7" ht="15.75" customHeight="1">
      <c r="A36" s="22"/>
      <c r="B36" s="23"/>
      <c r="C36" s="24"/>
      <c r="D36" s="23"/>
      <c r="E36" s="22"/>
      <c r="F36" s="22"/>
      <c r="G36" s="2"/>
    </row>
    <row r="37" spans="1:7" ht="15.75" customHeight="1">
      <c r="A37" s="22"/>
      <c r="B37" s="23"/>
      <c r="C37" s="24"/>
      <c r="D37" s="23"/>
      <c r="E37" s="22"/>
      <c r="F37" s="22"/>
      <c r="G37" s="2"/>
    </row>
    <row r="38" spans="1:7" ht="15.75" customHeight="1">
      <c r="A38" s="22"/>
      <c r="B38" s="23"/>
      <c r="C38" s="24"/>
      <c r="D38" s="23"/>
      <c r="E38" s="22"/>
      <c r="F38" s="22"/>
      <c r="G38" s="2"/>
    </row>
    <row r="39" spans="1:7" ht="15.75" customHeight="1">
      <c r="A39" s="22"/>
      <c r="B39" s="23"/>
      <c r="C39" s="24"/>
      <c r="D39" s="23"/>
      <c r="E39" s="22"/>
      <c r="F39" s="22"/>
      <c r="G39" s="2"/>
    </row>
    <row r="40" spans="1:7" ht="15.75" customHeight="1">
      <c r="A40" s="22"/>
      <c r="B40" s="23"/>
      <c r="C40" s="24"/>
      <c r="D40" s="23"/>
      <c r="E40" s="22"/>
      <c r="F40" s="22"/>
      <c r="G40" s="2"/>
    </row>
    <row r="41" spans="1:7" ht="15.75" customHeight="1">
      <c r="A41" s="22"/>
      <c r="B41" s="23"/>
      <c r="C41" s="24"/>
      <c r="D41" s="23"/>
      <c r="E41" s="22"/>
      <c r="F41" s="22"/>
      <c r="G41" s="2"/>
    </row>
    <row r="42" spans="1:7" ht="15.75" customHeight="1">
      <c r="A42" s="22"/>
      <c r="B42" s="23"/>
      <c r="C42" s="24"/>
      <c r="D42" s="23"/>
      <c r="E42" s="22"/>
      <c r="F42" s="22"/>
      <c r="G42" s="2"/>
    </row>
    <row r="43" spans="1:7" ht="15.75" customHeight="1">
      <c r="A43" s="22"/>
      <c r="B43" s="23"/>
      <c r="C43" s="24"/>
      <c r="D43" s="23"/>
      <c r="E43" s="22"/>
      <c r="F43" s="22"/>
      <c r="G43" s="2"/>
    </row>
    <row r="44" spans="1:7" ht="15.75" customHeight="1">
      <c r="A44" s="22"/>
      <c r="B44" s="23"/>
      <c r="C44" s="24"/>
      <c r="D44" s="23"/>
      <c r="E44" s="22"/>
      <c r="F44" s="22"/>
      <c r="G44" s="2"/>
    </row>
    <row r="45" spans="1:7" ht="15.75" customHeight="1">
      <c r="A45" s="22"/>
      <c r="B45" s="23"/>
      <c r="C45" s="24"/>
      <c r="D45" s="23"/>
      <c r="E45" s="22"/>
      <c r="F45" s="22"/>
      <c r="G45" s="2"/>
    </row>
    <row r="46" spans="1:7" ht="15.75" customHeight="1">
      <c r="A46" s="22"/>
      <c r="B46" s="23"/>
      <c r="C46" s="24"/>
      <c r="D46" s="23"/>
      <c r="E46" s="22"/>
      <c r="F46" s="22"/>
      <c r="G46" s="2"/>
    </row>
    <row r="47" spans="1:7" ht="15.75" customHeight="1">
      <c r="A47" s="22"/>
      <c r="B47" s="23"/>
      <c r="C47" s="24"/>
      <c r="D47" s="23"/>
      <c r="E47" s="22"/>
      <c r="F47" s="22"/>
      <c r="G47" s="2"/>
    </row>
    <row r="48" spans="1:7" ht="15.75" customHeight="1">
      <c r="A48" s="22"/>
      <c r="B48" s="23"/>
      <c r="C48" s="24"/>
      <c r="D48" s="23"/>
      <c r="E48" s="22"/>
      <c r="F48" s="22"/>
      <c r="G48" s="2"/>
    </row>
    <row r="49" spans="1:7" ht="15.75" customHeight="1">
      <c r="A49" s="22"/>
      <c r="B49" s="23"/>
      <c r="C49" s="24"/>
      <c r="D49" s="23"/>
      <c r="E49" s="22"/>
      <c r="F49" s="22"/>
      <c r="G49" s="2"/>
    </row>
    <row r="50" spans="1:7" ht="15.75" customHeight="1">
      <c r="A50" s="22"/>
      <c r="B50" s="23"/>
      <c r="C50" s="24"/>
      <c r="D50" s="23"/>
      <c r="E50" s="22"/>
      <c r="F50" s="22"/>
      <c r="G50" s="2"/>
    </row>
    <row r="51" spans="1:7" ht="15.75" customHeight="1">
      <c r="A51" s="22"/>
      <c r="B51" s="23"/>
      <c r="C51" s="24"/>
      <c r="D51" s="23"/>
      <c r="E51" s="22"/>
      <c r="F51" s="22"/>
      <c r="G51" s="2"/>
    </row>
    <row r="52" spans="1:7" ht="15.75" customHeight="1">
      <c r="A52" s="22"/>
      <c r="B52" s="23"/>
      <c r="C52" s="24"/>
      <c r="D52" s="23"/>
      <c r="E52" s="22"/>
      <c r="F52" s="22"/>
      <c r="G52" s="2"/>
    </row>
    <row r="53" spans="1:7" ht="15.75" customHeight="1">
      <c r="A53" s="22"/>
      <c r="B53" s="23"/>
      <c r="C53" s="24"/>
      <c r="D53" s="23"/>
      <c r="E53" s="22"/>
      <c r="F53" s="22"/>
      <c r="G53" s="2"/>
    </row>
    <row r="54" spans="1:7" ht="15.75" customHeight="1">
      <c r="A54" s="22"/>
      <c r="B54" s="23"/>
      <c r="C54" s="24"/>
      <c r="D54" s="23"/>
      <c r="E54" s="22"/>
      <c r="F54" s="22"/>
      <c r="G54" s="2"/>
    </row>
    <row r="55" spans="1:7" ht="15.75" customHeight="1">
      <c r="A55" s="22"/>
      <c r="B55" s="23"/>
      <c r="C55" s="24"/>
      <c r="D55" s="23"/>
      <c r="E55" s="22"/>
      <c r="F55" s="22"/>
      <c r="G55" s="2"/>
    </row>
    <row r="56" spans="1:7" ht="15.75" customHeight="1">
      <c r="A56" s="22"/>
      <c r="B56" s="23"/>
      <c r="C56" s="24"/>
      <c r="D56" s="23"/>
      <c r="E56" s="22"/>
      <c r="F56" s="22"/>
      <c r="G56" s="2"/>
    </row>
    <row r="57" spans="1:7" ht="15.75" customHeight="1">
      <c r="A57" s="22"/>
      <c r="B57" s="23"/>
      <c r="C57" s="24"/>
      <c r="D57" s="23"/>
      <c r="E57" s="22"/>
      <c r="F57" s="22"/>
      <c r="G57" s="2"/>
    </row>
    <row r="58" spans="1:7" ht="15.75" customHeight="1">
      <c r="A58" s="22"/>
      <c r="B58" s="23"/>
      <c r="C58" s="24"/>
      <c r="D58" s="23"/>
      <c r="E58" s="22"/>
      <c r="F58" s="22"/>
      <c r="G58" s="2"/>
    </row>
    <row r="59" spans="1:7" ht="15.75" customHeight="1">
      <c r="A59" s="22"/>
      <c r="B59" s="23"/>
      <c r="C59" s="24"/>
      <c r="D59" s="23"/>
      <c r="E59" s="22"/>
      <c r="F59" s="22"/>
      <c r="G59" s="2"/>
    </row>
    <row r="60" spans="1:7" ht="15.75" customHeight="1">
      <c r="A60" s="22"/>
      <c r="B60" s="23"/>
      <c r="C60" s="24"/>
      <c r="D60" s="23"/>
      <c r="E60" s="22"/>
      <c r="F60" s="22"/>
      <c r="G60" s="2"/>
    </row>
    <row r="61" spans="1:7" ht="15.75" customHeight="1">
      <c r="A61" s="22"/>
      <c r="B61" s="23"/>
      <c r="C61" s="24"/>
      <c r="D61" s="23"/>
      <c r="E61" s="22"/>
      <c r="F61" s="22"/>
      <c r="G61" s="2"/>
    </row>
    <row r="62" spans="1:7" ht="15.75" customHeight="1">
      <c r="A62" s="22"/>
      <c r="B62" s="23"/>
      <c r="C62" s="24"/>
      <c r="D62" s="23"/>
      <c r="E62" s="22"/>
      <c r="F62" s="22"/>
      <c r="G62" s="2"/>
    </row>
    <row r="63" spans="1:7" ht="15.75" customHeight="1">
      <c r="A63" s="22"/>
      <c r="B63" s="23"/>
      <c r="C63" s="24"/>
      <c r="D63" s="23"/>
      <c r="E63" s="22"/>
      <c r="F63" s="22"/>
      <c r="G63" s="2"/>
    </row>
    <row r="64" spans="1:7" ht="15.75" customHeight="1">
      <c r="A64" s="22"/>
      <c r="B64" s="23"/>
      <c r="C64" s="24"/>
      <c r="D64" s="23"/>
      <c r="E64" s="22"/>
      <c r="F64" s="22"/>
      <c r="G64" s="2"/>
    </row>
    <row r="65" spans="1:7" ht="15.75" customHeight="1">
      <c r="A65" s="22"/>
      <c r="B65" s="23"/>
      <c r="C65" s="24"/>
      <c r="D65" s="23"/>
      <c r="E65" s="22"/>
      <c r="F65" s="22"/>
      <c r="G65" s="2"/>
    </row>
    <row r="66" spans="1:7" ht="15.75" customHeight="1">
      <c r="A66" s="22"/>
      <c r="B66" s="23"/>
      <c r="C66" s="24"/>
      <c r="D66" s="23"/>
      <c r="E66" s="22"/>
      <c r="F66" s="22"/>
      <c r="G66" s="2"/>
    </row>
    <row r="67" spans="1:7" ht="15.75" customHeight="1">
      <c r="A67" s="22"/>
      <c r="B67" s="23"/>
      <c r="C67" s="24"/>
      <c r="D67" s="23"/>
      <c r="E67" s="22"/>
      <c r="F67" s="22"/>
      <c r="G67" s="2"/>
    </row>
    <row r="68" spans="1:7" ht="15.75" customHeight="1">
      <c r="A68" s="22"/>
      <c r="B68" s="23"/>
      <c r="C68" s="24"/>
      <c r="D68" s="23"/>
      <c r="E68" s="22"/>
      <c r="F68" s="22"/>
      <c r="G68" s="2"/>
    </row>
    <row r="69" spans="1:7" ht="15.75" customHeight="1">
      <c r="A69" s="22"/>
      <c r="B69" s="23"/>
      <c r="C69" s="24"/>
      <c r="D69" s="23"/>
      <c r="E69" s="22"/>
      <c r="F69" s="22"/>
      <c r="G69" s="2"/>
    </row>
    <row r="70" spans="1:7" ht="15.75" customHeight="1">
      <c r="A70" s="22"/>
      <c r="B70" s="23"/>
      <c r="C70" s="24"/>
      <c r="D70" s="23"/>
      <c r="E70" s="22"/>
      <c r="F70" s="22"/>
      <c r="G70" s="2"/>
    </row>
    <row r="71" spans="1:7" ht="15.75" customHeight="1">
      <c r="A71" s="22"/>
      <c r="B71" s="23"/>
      <c r="C71" s="24"/>
      <c r="D71" s="23"/>
      <c r="E71" s="22"/>
      <c r="F71" s="22"/>
      <c r="G71" s="2"/>
    </row>
    <row r="72" spans="1:7" ht="15.75" customHeight="1">
      <c r="A72" s="22"/>
      <c r="B72" s="23"/>
      <c r="C72" s="24"/>
      <c r="D72" s="23"/>
      <c r="E72" s="22"/>
      <c r="F72" s="22"/>
      <c r="G72" s="2"/>
    </row>
    <row r="73" spans="1:7" ht="15.75" customHeight="1">
      <c r="A73" s="22"/>
      <c r="B73" s="23"/>
      <c r="C73" s="24"/>
      <c r="D73" s="23"/>
      <c r="E73" s="22"/>
      <c r="F73" s="22"/>
      <c r="G73" s="2"/>
    </row>
    <row r="74" spans="1:7" ht="15.75" customHeight="1">
      <c r="A74" s="22"/>
      <c r="B74" s="23"/>
      <c r="C74" s="24"/>
      <c r="D74" s="23"/>
      <c r="E74" s="22"/>
      <c r="F74" s="22"/>
      <c r="G74" s="2"/>
    </row>
    <row r="75" spans="1:7" ht="15.75" customHeight="1">
      <c r="A75" s="22"/>
      <c r="B75" s="23"/>
      <c r="C75" s="24"/>
      <c r="D75" s="23"/>
      <c r="E75" s="22"/>
      <c r="F75" s="22"/>
      <c r="G75" s="2"/>
    </row>
    <row r="76" spans="1:7" ht="15.75" customHeight="1">
      <c r="A76" s="22"/>
      <c r="B76" s="23"/>
      <c r="C76" s="24"/>
      <c r="D76" s="23"/>
      <c r="E76" s="22"/>
      <c r="F76" s="22"/>
      <c r="G76" s="2"/>
    </row>
    <row r="77" spans="1:7" ht="15.75" customHeight="1">
      <c r="A77" s="22"/>
      <c r="B77" s="23"/>
      <c r="C77" s="24"/>
      <c r="D77" s="23"/>
      <c r="E77" s="22"/>
      <c r="F77" s="22"/>
      <c r="G77" s="2"/>
    </row>
    <row r="78" spans="1:7" ht="15.75" customHeight="1">
      <c r="A78" s="22"/>
      <c r="B78" s="23"/>
      <c r="C78" s="24"/>
      <c r="D78" s="23"/>
      <c r="E78" s="22"/>
      <c r="F78" s="22"/>
      <c r="G78" s="2"/>
    </row>
    <row r="79" spans="1:7" ht="15.75" customHeight="1">
      <c r="A79" s="22"/>
      <c r="B79" s="23"/>
      <c r="C79" s="24"/>
      <c r="D79" s="23"/>
      <c r="E79" s="22"/>
      <c r="F79" s="22"/>
      <c r="G79" s="2"/>
    </row>
    <row r="80" spans="1:7" ht="15.75" customHeight="1">
      <c r="A80" s="22"/>
      <c r="B80" s="23"/>
      <c r="C80" s="24"/>
      <c r="D80" s="23"/>
      <c r="E80" s="22"/>
      <c r="F80" s="22"/>
      <c r="G80" s="2"/>
    </row>
    <row r="81" spans="1:7" ht="15.75" customHeight="1">
      <c r="A81" s="22"/>
      <c r="B81" s="23"/>
      <c r="C81" s="24"/>
      <c r="D81" s="23"/>
      <c r="E81" s="22"/>
      <c r="F81" s="22"/>
      <c r="G81" s="2"/>
    </row>
    <row r="82" spans="1:7" ht="15.75" customHeight="1">
      <c r="A82" s="22"/>
      <c r="B82" s="23"/>
      <c r="C82" s="24"/>
      <c r="D82" s="23"/>
      <c r="E82" s="22"/>
      <c r="F82" s="22"/>
      <c r="G82" s="2"/>
    </row>
    <row r="83" spans="1:7" ht="15.75" customHeight="1">
      <c r="A83" s="22"/>
      <c r="B83" s="23"/>
      <c r="C83" s="24"/>
      <c r="D83" s="23"/>
      <c r="E83" s="22"/>
      <c r="F83" s="22"/>
      <c r="G83" s="2"/>
    </row>
    <row r="84" spans="1:7" ht="15.75" customHeight="1">
      <c r="A84" s="22"/>
      <c r="B84" s="23"/>
      <c r="C84" s="24"/>
      <c r="D84" s="23"/>
      <c r="E84" s="22"/>
      <c r="F84" s="22"/>
      <c r="G84" s="2"/>
    </row>
    <row r="85" spans="1:7" ht="15.75" customHeight="1">
      <c r="A85" s="22"/>
      <c r="B85" s="23"/>
      <c r="C85" s="24"/>
      <c r="D85" s="23"/>
      <c r="E85" s="22"/>
      <c r="F85" s="22"/>
      <c r="G85" s="2"/>
    </row>
    <row r="86" spans="1:7" ht="15.75" customHeight="1">
      <c r="A86" s="22"/>
      <c r="B86" s="23"/>
      <c r="C86" s="24"/>
      <c r="D86" s="23"/>
      <c r="E86" s="22"/>
      <c r="F86" s="22"/>
      <c r="G86" s="2"/>
    </row>
    <row r="87" spans="1:7" ht="15.75" customHeight="1">
      <c r="A87" s="22"/>
      <c r="B87" s="23"/>
      <c r="C87" s="24"/>
      <c r="D87" s="23"/>
      <c r="E87" s="22"/>
      <c r="F87" s="22"/>
      <c r="G87" s="2"/>
    </row>
    <row r="88" spans="1:7" ht="15.75" customHeight="1">
      <c r="A88" s="22"/>
      <c r="B88" s="23"/>
      <c r="C88" s="24"/>
      <c r="D88" s="23"/>
      <c r="E88" s="22"/>
      <c r="F88" s="22"/>
      <c r="G88" s="2"/>
    </row>
    <row r="89" spans="1:7" ht="15.75" customHeight="1">
      <c r="A89" s="22"/>
      <c r="B89" s="23"/>
      <c r="C89" s="24"/>
      <c r="D89" s="23"/>
      <c r="E89" s="22"/>
      <c r="F89" s="22"/>
      <c r="G89" s="2"/>
    </row>
    <row r="90" spans="1:7" ht="15.75" customHeight="1">
      <c r="A90" s="22"/>
      <c r="B90" s="23"/>
      <c r="C90" s="24"/>
      <c r="D90" s="23"/>
      <c r="E90" s="22"/>
      <c r="F90" s="22"/>
      <c r="G90" s="2"/>
    </row>
    <row r="91" spans="1:7" ht="15.75" customHeight="1">
      <c r="A91" s="22"/>
      <c r="B91" s="23"/>
      <c r="C91" s="24"/>
      <c r="D91" s="23"/>
      <c r="E91" s="22"/>
      <c r="F91" s="22"/>
      <c r="G91" s="2"/>
    </row>
    <row r="92" spans="1:7" ht="15.75" customHeight="1">
      <c r="A92" s="22"/>
      <c r="B92" s="23"/>
      <c r="C92" s="24"/>
      <c r="D92" s="23"/>
      <c r="E92" s="22"/>
      <c r="F92" s="22"/>
      <c r="G92" s="2"/>
    </row>
    <row r="93" spans="1:7" ht="15.75" customHeight="1">
      <c r="A93" s="22"/>
      <c r="B93" s="23"/>
      <c r="C93" s="24"/>
      <c r="D93" s="23"/>
      <c r="E93" s="22"/>
      <c r="F93" s="22"/>
      <c r="G93" s="2"/>
    </row>
    <row r="94" spans="1:7" ht="15.75" customHeight="1">
      <c r="A94" s="22"/>
      <c r="B94" s="23"/>
      <c r="C94" s="24"/>
      <c r="D94" s="23"/>
      <c r="E94" s="22"/>
      <c r="F94" s="22"/>
      <c r="G94" s="2"/>
    </row>
    <row r="95" spans="1:7" ht="15.75" customHeight="1">
      <c r="A95" s="22"/>
      <c r="B95" s="23"/>
      <c r="C95" s="24"/>
      <c r="D95" s="23"/>
      <c r="E95" s="22"/>
      <c r="F95" s="22"/>
      <c r="G95" s="2"/>
    </row>
    <row r="96" spans="1:7" ht="15.75" customHeight="1">
      <c r="A96" s="22"/>
      <c r="B96" s="23"/>
      <c r="C96" s="24"/>
      <c r="D96" s="23"/>
      <c r="E96" s="22"/>
      <c r="F96" s="22"/>
      <c r="G96" s="2"/>
    </row>
    <row r="97" spans="1:7" ht="15.75" customHeight="1">
      <c r="A97" s="22"/>
      <c r="B97" s="23"/>
      <c r="C97" s="24"/>
      <c r="D97" s="23"/>
      <c r="E97" s="22"/>
      <c r="F97" s="22"/>
      <c r="G97" s="2"/>
    </row>
    <row r="98" spans="1:7" ht="15.75" customHeight="1">
      <c r="A98" s="22"/>
      <c r="B98" s="23"/>
      <c r="C98" s="24"/>
      <c r="D98" s="23"/>
      <c r="E98" s="22"/>
      <c r="F98" s="22"/>
      <c r="G98" s="2"/>
    </row>
    <row r="99" spans="1:7" ht="15.75" customHeight="1">
      <c r="A99" s="22"/>
      <c r="B99" s="23"/>
      <c r="C99" s="24"/>
      <c r="D99" s="23"/>
      <c r="E99" s="22"/>
      <c r="F99" s="22"/>
      <c r="G99" s="2"/>
    </row>
    <row r="100" spans="1:7" ht="15.75" customHeight="1">
      <c r="A100" s="22"/>
      <c r="B100" s="23"/>
      <c r="C100" s="24"/>
      <c r="D100" s="23"/>
      <c r="E100" s="22"/>
      <c r="F100" s="22"/>
      <c r="G100" s="2"/>
    </row>
    <row r="101" spans="1:7" ht="15.75" customHeight="1">
      <c r="A101" s="22"/>
      <c r="B101" s="23"/>
      <c r="C101" s="24"/>
      <c r="D101" s="23"/>
      <c r="E101" s="22"/>
      <c r="F101" s="22"/>
      <c r="G101" s="2"/>
    </row>
    <row r="102" spans="1:7" ht="15.75" customHeight="1">
      <c r="A102" s="22"/>
      <c r="B102" s="23"/>
      <c r="C102" s="24"/>
      <c r="D102" s="23"/>
      <c r="E102" s="22"/>
      <c r="F102" s="22"/>
      <c r="G102" s="2"/>
    </row>
    <row r="103" spans="1:7" ht="15.75" customHeight="1">
      <c r="A103" s="22"/>
      <c r="B103" s="23"/>
      <c r="C103" s="24"/>
      <c r="D103" s="23"/>
      <c r="E103" s="22"/>
      <c r="F103" s="22"/>
      <c r="G103" s="2"/>
    </row>
    <row r="104" spans="1:7" ht="15.75" customHeight="1">
      <c r="A104" s="22"/>
      <c r="B104" s="23"/>
      <c r="C104" s="24"/>
      <c r="D104" s="23"/>
      <c r="E104" s="22"/>
      <c r="F104" s="22"/>
      <c r="G104" s="2"/>
    </row>
    <row r="105" spans="1:7" ht="15.75" customHeight="1">
      <c r="A105" s="22"/>
      <c r="B105" s="23"/>
      <c r="C105" s="24"/>
      <c r="D105" s="23"/>
      <c r="E105" s="22"/>
      <c r="F105" s="22"/>
      <c r="G105" s="2"/>
    </row>
    <row r="106" spans="1:7" ht="15.75" customHeight="1">
      <c r="A106" s="22"/>
      <c r="B106" s="23"/>
      <c r="C106" s="24"/>
      <c r="D106" s="23"/>
      <c r="E106" s="22"/>
      <c r="F106" s="22"/>
      <c r="G106" s="2"/>
    </row>
    <row r="107" spans="1:7" ht="15.75" customHeight="1">
      <c r="A107" s="22"/>
      <c r="B107" s="23"/>
      <c r="C107" s="24"/>
      <c r="D107" s="23"/>
      <c r="E107" s="22"/>
      <c r="F107" s="22"/>
      <c r="G107" s="2"/>
    </row>
    <row r="108" spans="1:7" ht="15.75" customHeight="1">
      <c r="A108" s="22"/>
      <c r="B108" s="23"/>
      <c r="C108" s="24"/>
      <c r="D108" s="23"/>
      <c r="E108" s="22"/>
      <c r="F108" s="22"/>
      <c r="G108" s="2"/>
    </row>
    <row r="109" spans="1:7" ht="15.75" customHeight="1">
      <c r="A109" s="22"/>
      <c r="B109" s="23"/>
      <c r="C109" s="24"/>
      <c r="D109" s="23"/>
      <c r="E109" s="22"/>
      <c r="F109" s="22"/>
      <c r="G109" s="2"/>
    </row>
    <row r="110" spans="1:7" ht="15.75" customHeight="1">
      <c r="A110" s="22"/>
      <c r="B110" s="23"/>
      <c r="C110" s="24"/>
      <c r="D110" s="23"/>
      <c r="E110" s="22"/>
      <c r="F110" s="22"/>
      <c r="G110" s="2"/>
    </row>
    <row r="111" spans="1:7" ht="15.75" customHeight="1">
      <c r="A111" s="22"/>
      <c r="B111" s="23"/>
      <c r="C111" s="24"/>
      <c r="D111" s="23"/>
      <c r="E111" s="22"/>
      <c r="F111" s="22"/>
      <c r="G111" s="2"/>
    </row>
    <row r="112" spans="1:7" ht="15.75" customHeight="1">
      <c r="A112" s="22"/>
      <c r="B112" s="23"/>
      <c r="C112" s="24"/>
      <c r="D112" s="23"/>
      <c r="E112" s="22"/>
      <c r="F112" s="22"/>
      <c r="G112" s="2"/>
    </row>
    <row r="113" spans="1:7" ht="15.75" customHeight="1">
      <c r="A113" s="22"/>
      <c r="B113" s="23"/>
      <c r="C113" s="24"/>
      <c r="D113" s="23"/>
      <c r="E113" s="22"/>
      <c r="F113" s="22"/>
      <c r="G113" s="2"/>
    </row>
    <row r="114" spans="1:7" ht="15.75" customHeight="1">
      <c r="A114" s="22"/>
      <c r="B114" s="23"/>
      <c r="C114" s="24"/>
      <c r="D114" s="23"/>
      <c r="E114" s="22"/>
      <c r="F114" s="22"/>
      <c r="G114" s="2"/>
    </row>
    <row r="115" spans="1:7" ht="15.75" customHeight="1">
      <c r="A115" s="22"/>
      <c r="B115" s="23"/>
      <c r="C115" s="24"/>
      <c r="D115" s="23"/>
      <c r="E115" s="22"/>
      <c r="F115" s="22"/>
      <c r="G115" s="2"/>
    </row>
    <row r="116" spans="1:7" ht="15.75" customHeight="1">
      <c r="A116" s="22"/>
      <c r="B116" s="23"/>
      <c r="C116" s="24"/>
      <c r="D116" s="23"/>
      <c r="E116" s="22"/>
      <c r="F116" s="22"/>
      <c r="G116" s="2"/>
    </row>
    <row r="117" spans="1:7" ht="15.75" customHeight="1">
      <c r="A117" s="22"/>
      <c r="B117" s="23"/>
      <c r="C117" s="24"/>
      <c r="D117" s="23"/>
      <c r="E117" s="22"/>
      <c r="F117" s="22"/>
      <c r="G117" s="2"/>
    </row>
    <row r="118" spans="1:7" ht="15.75" customHeight="1">
      <c r="A118" s="22"/>
      <c r="B118" s="23"/>
      <c r="C118" s="24"/>
      <c r="D118" s="23"/>
      <c r="E118" s="22"/>
      <c r="F118" s="22"/>
      <c r="G118" s="2"/>
    </row>
    <row r="119" spans="1:7" ht="15.75" customHeight="1">
      <c r="A119" s="22"/>
      <c r="B119" s="23"/>
      <c r="C119" s="24"/>
      <c r="D119" s="23"/>
      <c r="E119" s="22"/>
      <c r="F119" s="22"/>
      <c r="G119" s="2"/>
    </row>
    <row r="120" spans="1:7" ht="15.75" customHeight="1">
      <c r="A120" s="22"/>
      <c r="B120" s="23"/>
      <c r="C120" s="24"/>
      <c r="D120" s="23"/>
      <c r="E120" s="22"/>
      <c r="F120" s="22"/>
      <c r="G120" s="2"/>
    </row>
    <row r="121" spans="1:7" ht="15.75" customHeight="1">
      <c r="A121" s="22"/>
      <c r="B121" s="23"/>
      <c r="C121" s="24"/>
      <c r="D121" s="23"/>
      <c r="E121" s="22"/>
      <c r="F121" s="22"/>
      <c r="G121" s="2"/>
    </row>
    <row r="122" spans="1:7" ht="15.75" customHeight="1">
      <c r="A122" s="22"/>
      <c r="B122" s="23"/>
      <c r="C122" s="24"/>
      <c r="D122" s="23"/>
      <c r="E122" s="22"/>
      <c r="F122" s="22"/>
      <c r="G122" s="2"/>
    </row>
    <row r="123" spans="1:7" ht="15.75" customHeight="1">
      <c r="A123" s="22"/>
      <c r="B123" s="23"/>
      <c r="C123" s="24"/>
      <c r="D123" s="23"/>
      <c r="E123" s="22"/>
      <c r="F123" s="22"/>
      <c r="G123" s="2"/>
    </row>
    <row r="124" spans="1:7" ht="15.75" customHeight="1">
      <c r="A124" s="22"/>
      <c r="B124" s="23"/>
      <c r="C124" s="24"/>
      <c r="D124" s="23"/>
      <c r="E124" s="22"/>
      <c r="F124" s="22"/>
      <c r="G124" s="2"/>
    </row>
    <row r="125" spans="1:7" ht="15.75" customHeight="1">
      <c r="A125" s="22"/>
      <c r="B125" s="23"/>
      <c r="C125" s="24"/>
      <c r="D125" s="23"/>
      <c r="E125" s="22"/>
      <c r="F125" s="22"/>
      <c r="G125" s="2"/>
    </row>
    <row r="126" spans="1:7" ht="15.75" customHeight="1">
      <c r="A126" s="22"/>
      <c r="B126" s="23"/>
      <c r="C126" s="24"/>
      <c r="D126" s="23"/>
      <c r="E126" s="22"/>
      <c r="F126" s="22"/>
      <c r="G126" s="2"/>
    </row>
    <row r="127" spans="1:7" ht="15.75" customHeight="1">
      <c r="A127" s="22"/>
      <c r="B127" s="23"/>
      <c r="C127" s="24"/>
      <c r="D127" s="23"/>
      <c r="E127" s="22"/>
      <c r="F127" s="22"/>
      <c r="G127" s="2"/>
    </row>
    <row r="128" spans="1:7" ht="15.75" customHeight="1">
      <c r="A128" s="22"/>
      <c r="B128" s="23"/>
      <c r="C128" s="24"/>
      <c r="D128" s="23"/>
      <c r="E128" s="22"/>
      <c r="F128" s="22"/>
      <c r="G128" s="2"/>
    </row>
    <row r="129" spans="1:7" ht="15.75" customHeight="1">
      <c r="A129" s="22"/>
      <c r="B129" s="23"/>
      <c r="C129" s="24"/>
      <c r="D129" s="23"/>
      <c r="E129" s="22"/>
      <c r="F129" s="22"/>
      <c r="G129" s="2"/>
    </row>
    <row r="130" spans="1:7" ht="15.75" customHeight="1">
      <c r="A130" s="22"/>
      <c r="B130" s="23"/>
      <c r="C130" s="24"/>
      <c r="D130" s="23"/>
      <c r="E130" s="22"/>
      <c r="F130" s="22"/>
      <c r="G130" s="2"/>
    </row>
    <row r="131" spans="1:7" ht="15.75" customHeight="1">
      <c r="A131" s="22"/>
      <c r="B131" s="23"/>
      <c r="C131" s="24"/>
      <c r="D131" s="23"/>
      <c r="E131" s="22"/>
      <c r="F131" s="22"/>
      <c r="G131" s="2"/>
    </row>
    <row r="132" spans="1:7" ht="15.75" customHeight="1">
      <c r="A132" s="22"/>
      <c r="B132" s="23"/>
      <c r="C132" s="24"/>
      <c r="D132" s="23"/>
      <c r="E132" s="22"/>
      <c r="F132" s="22"/>
      <c r="G132" s="2"/>
    </row>
    <row r="133" spans="1:7" ht="15.75" customHeight="1">
      <c r="A133" s="22"/>
      <c r="B133" s="23"/>
      <c r="C133" s="24"/>
      <c r="D133" s="23"/>
      <c r="E133" s="22"/>
      <c r="F133" s="22"/>
      <c r="G133" s="2"/>
    </row>
    <row r="134" spans="1:7" ht="15.75" customHeight="1">
      <c r="A134" s="22"/>
      <c r="B134" s="23"/>
      <c r="C134" s="24"/>
      <c r="D134" s="23"/>
      <c r="E134" s="22"/>
      <c r="F134" s="22"/>
      <c r="G134" s="2"/>
    </row>
    <row r="135" spans="1:7" ht="15.75" customHeight="1">
      <c r="A135" s="22"/>
      <c r="B135" s="23"/>
      <c r="C135" s="24"/>
      <c r="D135" s="23"/>
      <c r="E135" s="22"/>
      <c r="F135" s="22"/>
      <c r="G135" s="2"/>
    </row>
    <row r="136" spans="1:7" ht="15.75" customHeight="1">
      <c r="A136" s="22"/>
      <c r="B136" s="23"/>
      <c r="C136" s="24"/>
      <c r="D136" s="23"/>
      <c r="E136" s="22"/>
      <c r="F136" s="22"/>
      <c r="G136" s="2"/>
    </row>
    <row r="137" spans="1:7" ht="15.75" customHeight="1">
      <c r="A137" s="22"/>
      <c r="B137" s="23"/>
      <c r="C137" s="24"/>
      <c r="D137" s="23"/>
      <c r="E137" s="22"/>
      <c r="F137" s="22"/>
      <c r="G137" s="2"/>
    </row>
    <row r="138" spans="1:7" ht="15.75" customHeight="1">
      <c r="A138" s="22"/>
      <c r="B138" s="23"/>
      <c r="C138" s="24"/>
      <c r="D138" s="23"/>
      <c r="E138" s="22"/>
      <c r="F138" s="22"/>
      <c r="G138" s="2"/>
    </row>
    <row r="139" spans="1:7" ht="15.75" customHeight="1">
      <c r="A139" s="22"/>
      <c r="B139" s="23"/>
      <c r="C139" s="24"/>
      <c r="D139" s="23"/>
      <c r="E139" s="22"/>
      <c r="F139" s="22"/>
      <c r="G139" s="2"/>
    </row>
    <row r="140" spans="1:7" ht="15.75" customHeight="1">
      <c r="A140" s="22"/>
      <c r="B140" s="23"/>
      <c r="C140" s="24"/>
      <c r="D140" s="23"/>
      <c r="E140" s="22"/>
      <c r="F140" s="22"/>
      <c r="G140" s="2"/>
    </row>
    <row r="141" spans="1:7" ht="15.75" customHeight="1">
      <c r="A141" s="22"/>
      <c r="B141" s="23"/>
      <c r="C141" s="24"/>
      <c r="D141" s="23"/>
      <c r="E141" s="22"/>
      <c r="F141" s="22"/>
      <c r="G141" s="2"/>
    </row>
    <row r="142" spans="1:7" ht="15.75" customHeight="1">
      <c r="A142" s="22"/>
      <c r="B142" s="23"/>
      <c r="C142" s="24"/>
      <c r="D142" s="23"/>
      <c r="E142" s="22"/>
      <c r="F142" s="22"/>
      <c r="G142" s="2"/>
    </row>
    <row r="143" spans="1:7" ht="15.75" customHeight="1">
      <c r="A143" s="22"/>
      <c r="B143" s="23"/>
      <c r="C143" s="24"/>
      <c r="D143" s="23"/>
      <c r="E143" s="22"/>
      <c r="F143" s="22"/>
      <c r="G143" s="2"/>
    </row>
    <row r="144" spans="1:7" ht="15.75" customHeight="1">
      <c r="A144" s="22"/>
      <c r="B144" s="23"/>
      <c r="C144" s="24"/>
      <c r="D144" s="23"/>
      <c r="E144" s="22"/>
      <c r="F144" s="22"/>
      <c r="G144" s="2"/>
    </row>
    <row r="145" spans="1:7" ht="15.75" customHeight="1">
      <c r="A145" s="22"/>
      <c r="B145" s="23"/>
      <c r="C145" s="24"/>
      <c r="D145" s="23"/>
      <c r="E145" s="22"/>
      <c r="F145" s="22"/>
      <c r="G145" s="2"/>
    </row>
    <row r="146" spans="1:7" ht="15.75" customHeight="1">
      <c r="A146" s="22"/>
      <c r="B146" s="23"/>
      <c r="C146" s="24"/>
      <c r="D146" s="23"/>
      <c r="E146" s="22"/>
      <c r="F146" s="22"/>
      <c r="G146" s="2"/>
    </row>
    <row r="147" spans="1:7" ht="15.75" customHeight="1">
      <c r="A147" s="22"/>
      <c r="B147" s="23"/>
      <c r="C147" s="24"/>
      <c r="D147" s="23"/>
      <c r="E147" s="22"/>
      <c r="F147" s="22"/>
      <c r="G147" s="2"/>
    </row>
    <row r="148" spans="1:7" ht="15.75" customHeight="1">
      <c r="A148" s="22"/>
      <c r="B148" s="23"/>
      <c r="C148" s="24"/>
      <c r="D148" s="23"/>
      <c r="E148" s="22"/>
      <c r="F148" s="22"/>
      <c r="G148" s="2"/>
    </row>
    <row r="149" spans="1:7" ht="15.75" customHeight="1">
      <c r="A149" s="22"/>
      <c r="B149" s="23"/>
      <c r="C149" s="24"/>
      <c r="D149" s="23"/>
      <c r="E149" s="22"/>
      <c r="F149" s="22"/>
      <c r="G149" s="2"/>
    </row>
    <row r="150" spans="1:7" ht="15.75" customHeight="1">
      <c r="A150" s="22"/>
      <c r="B150" s="23"/>
      <c r="C150" s="24"/>
      <c r="D150" s="23"/>
      <c r="E150" s="22"/>
      <c r="F150" s="22"/>
      <c r="G150" s="2"/>
    </row>
    <row r="151" spans="1:7" ht="15.75" customHeight="1">
      <c r="A151" s="22"/>
      <c r="B151" s="23"/>
      <c r="C151" s="24"/>
      <c r="D151" s="23"/>
      <c r="E151" s="22"/>
      <c r="F151" s="22"/>
      <c r="G151" s="2"/>
    </row>
    <row r="152" spans="1:7" ht="15.75" customHeight="1">
      <c r="A152" s="22"/>
      <c r="B152" s="23"/>
      <c r="C152" s="24"/>
      <c r="D152" s="23"/>
      <c r="E152" s="22"/>
      <c r="F152" s="22"/>
      <c r="G152" s="2"/>
    </row>
    <row r="153" spans="1:7" ht="15.75" customHeight="1">
      <c r="A153" s="22"/>
      <c r="B153" s="23"/>
      <c r="C153" s="24"/>
      <c r="D153" s="23"/>
      <c r="E153" s="22"/>
      <c r="F153" s="22"/>
      <c r="G153" s="2"/>
    </row>
    <row r="154" spans="1:7" ht="15.75" customHeight="1">
      <c r="A154" s="22"/>
      <c r="B154" s="23"/>
      <c r="C154" s="24"/>
      <c r="D154" s="23"/>
      <c r="E154" s="22"/>
      <c r="F154" s="22"/>
      <c r="G154" s="2"/>
    </row>
    <row r="155" spans="1:7" ht="15.75" customHeight="1">
      <c r="A155" s="22"/>
      <c r="B155" s="23"/>
      <c r="C155" s="24"/>
      <c r="D155" s="23"/>
      <c r="E155" s="22"/>
      <c r="F155" s="22"/>
      <c r="G155" s="2"/>
    </row>
    <row r="156" spans="1:7" ht="15.75" customHeight="1">
      <c r="A156" s="22"/>
      <c r="B156" s="23"/>
      <c r="C156" s="24"/>
      <c r="D156" s="23"/>
      <c r="E156" s="22"/>
      <c r="F156" s="22"/>
      <c r="G156" s="2"/>
    </row>
    <row r="157" spans="1:7" ht="15.75" customHeight="1">
      <c r="A157" s="22"/>
      <c r="B157" s="23"/>
      <c r="C157" s="24"/>
      <c r="D157" s="23"/>
      <c r="E157" s="22"/>
      <c r="F157" s="22"/>
      <c r="G157" s="2"/>
    </row>
    <row r="158" spans="1:7" ht="15.75" customHeight="1">
      <c r="A158" s="22"/>
      <c r="B158" s="23"/>
      <c r="C158" s="24"/>
      <c r="D158" s="23"/>
      <c r="E158" s="22"/>
      <c r="F158" s="22"/>
      <c r="G158" s="2"/>
    </row>
    <row r="159" spans="1:7" ht="15.75" customHeight="1">
      <c r="A159" s="22"/>
      <c r="B159" s="23"/>
      <c r="C159" s="24"/>
      <c r="D159" s="23"/>
      <c r="E159" s="22"/>
      <c r="F159" s="22"/>
      <c r="G159" s="2"/>
    </row>
    <row r="160" spans="1:7" ht="15.75" customHeight="1">
      <c r="A160" s="22"/>
      <c r="B160" s="23"/>
      <c r="C160" s="24"/>
      <c r="D160" s="23"/>
      <c r="E160" s="22"/>
      <c r="F160" s="22"/>
      <c r="G160" s="2"/>
    </row>
    <row r="161" spans="1:7" ht="15.75" customHeight="1">
      <c r="A161" s="22"/>
      <c r="B161" s="23"/>
      <c r="C161" s="24"/>
      <c r="D161" s="23"/>
      <c r="E161" s="22"/>
      <c r="F161" s="22"/>
      <c r="G161" s="2"/>
    </row>
    <row r="162" spans="1:7" ht="15.75" customHeight="1">
      <c r="A162" s="22"/>
      <c r="B162" s="23"/>
      <c r="C162" s="24"/>
      <c r="D162" s="23"/>
      <c r="E162" s="22"/>
      <c r="F162" s="22"/>
      <c r="G162" s="2"/>
    </row>
    <row r="163" spans="1:7" ht="15.75" customHeight="1">
      <c r="A163" s="22"/>
      <c r="B163" s="23"/>
      <c r="C163" s="24"/>
      <c r="D163" s="23"/>
      <c r="E163" s="22"/>
      <c r="F163" s="22"/>
      <c r="G163" s="2"/>
    </row>
    <row r="164" spans="1:7" ht="15.75" customHeight="1">
      <c r="A164" s="22"/>
      <c r="B164" s="23"/>
      <c r="C164" s="24"/>
      <c r="D164" s="23"/>
      <c r="E164" s="22"/>
      <c r="F164" s="22"/>
      <c r="G164" s="2"/>
    </row>
    <row r="165" spans="1:7" ht="15.75" customHeight="1">
      <c r="A165" s="22"/>
      <c r="B165" s="23"/>
      <c r="C165" s="24"/>
      <c r="D165" s="23"/>
      <c r="E165" s="22"/>
      <c r="F165" s="22"/>
      <c r="G165" s="2"/>
    </row>
    <row r="166" spans="1:7" ht="15.75" customHeight="1">
      <c r="A166" s="22"/>
      <c r="B166" s="23"/>
      <c r="C166" s="24"/>
      <c r="D166" s="23"/>
      <c r="E166" s="22"/>
      <c r="F166" s="22"/>
      <c r="G166" s="2"/>
    </row>
    <row r="167" spans="1:7" ht="15.75" customHeight="1">
      <c r="A167" s="22"/>
      <c r="B167" s="23"/>
      <c r="C167" s="24"/>
      <c r="D167" s="23"/>
      <c r="E167" s="22"/>
      <c r="F167" s="22"/>
      <c r="G167" s="2"/>
    </row>
    <row r="168" spans="1:7" ht="15.75" customHeight="1">
      <c r="A168" s="22"/>
      <c r="B168" s="23"/>
      <c r="C168" s="24"/>
      <c r="D168" s="23"/>
      <c r="E168" s="22"/>
      <c r="F168" s="22"/>
      <c r="G168" s="2"/>
    </row>
    <row r="169" spans="1:7" ht="15.75" customHeight="1">
      <c r="A169" s="22"/>
      <c r="B169" s="23"/>
      <c r="C169" s="24"/>
      <c r="D169" s="23"/>
      <c r="E169" s="22"/>
      <c r="F169" s="22"/>
      <c r="G169" s="2"/>
    </row>
    <row r="170" spans="1:7" ht="15.75" customHeight="1">
      <c r="A170" s="22"/>
      <c r="B170" s="23"/>
      <c r="C170" s="24"/>
      <c r="D170" s="23"/>
      <c r="E170" s="22"/>
      <c r="F170" s="22"/>
      <c r="G170" s="2"/>
    </row>
    <row r="171" spans="1:7" ht="15.75" customHeight="1">
      <c r="A171" s="22"/>
      <c r="B171" s="23"/>
      <c r="C171" s="24"/>
      <c r="D171" s="23"/>
      <c r="E171" s="22"/>
      <c r="F171" s="22"/>
      <c r="G171" s="2"/>
    </row>
    <row r="172" spans="1:7" ht="15.75" customHeight="1">
      <c r="A172" s="22"/>
      <c r="B172" s="23"/>
      <c r="C172" s="24"/>
      <c r="D172" s="23"/>
      <c r="E172" s="22"/>
      <c r="F172" s="22"/>
      <c r="G172" s="2"/>
    </row>
    <row r="173" spans="1:7" ht="15.75" customHeight="1">
      <c r="A173" s="22"/>
      <c r="B173" s="23"/>
      <c r="C173" s="24"/>
      <c r="D173" s="23"/>
      <c r="E173" s="22"/>
      <c r="F173" s="22"/>
      <c r="G173" s="2"/>
    </row>
    <row r="174" spans="1:7" ht="15.75" customHeight="1">
      <c r="A174" s="22"/>
      <c r="B174" s="23"/>
      <c r="C174" s="24"/>
      <c r="D174" s="23"/>
      <c r="E174" s="22"/>
      <c r="F174" s="22"/>
      <c r="G174" s="2"/>
    </row>
    <row r="175" spans="1:7" ht="15.75" customHeight="1">
      <c r="A175" s="22"/>
      <c r="B175" s="23"/>
      <c r="C175" s="24"/>
      <c r="D175" s="23"/>
      <c r="E175" s="22"/>
      <c r="F175" s="22"/>
      <c r="G175" s="2"/>
    </row>
    <row r="176" spans="1:7" ht="15.75" customHeight="1">
      <c r="A176" s="22"/>
      <c r="B176" s="23"/>
      <c r="C176" s="24"/>
      <c r="D176" s="23"/>
      <c r="E176" s="22"/>
      <c r="F176" s="22"/>
      <c r="G176" s="2"/>
    </row>
    <row r="177" spans="1:7" ht="15.75" customHeight="1">
      <c r="A177" s="22"/>
      <c r="B177" s="23"/>
      <c r="C177" s="24"/>
      <c r="D177" s="23"/>
      <c r="E177" s="22"/>
      <c r="F177" s="22"/>
      <c r="G177" s="2"/>
    </row>
    <row r="178" spans="1:7" ht="15.75" customHeight="1">
      <c r="A178" s="22"/>
      <c r="B178" s="23"/>
      <c r="C178" s="24"/>
      <c r="D178" s="23"/>
      <c r="E178" s="22"/>
      <c r="F178" s="22"/>
      <c r="G178" s="2"/>
    </row>
    <row r="179" spans="1:7" ht="15.75" customHeight="1">
      <c r="A179" s="22"/>
      <c r="B179" s="23"/>
      <c r="C179" s="24"/>
      <c r="D179" s="23"/>
      <c r="E179" s="22"/>
      <c r="F179" s="22"/>
      <c r="G179" s="2"/>
    </row>
    <row r="180" spans="1:7" ht="15.75" customHeight="1">
      <c r="A180" s="22"/>
      <c r="B180" s="23"/>
      <c r="C180" s="24"/>
      <c r="D180" s="23"/>
      <c r="E180" s="22"/>
      <c r="F180" s="22"/>
      <c r="G180" s="2"/>
    </row>
    <row r="181" spans="1:7" ht="15.75" customHeight="1">
      <c r="A181" s="22"/>
      <c r="B181" s="23"/>
      <c r="C181" s="24"/>
      <c r="D181" s="23"/>
      <c r="E181" s="22"/>
      <c r="F181" s="22"/>
      <c r="G181" s="2"/>
    </row>
    <row r="182" spans="1:7" ht="15.75" customHeight="1">
      <c r="A182" s="22"/>
      <c r="B182" s="23"/>
      <c r="C182" s="24"/>
      <c r="D182" s="23"/>
      <c r="E182" s="22"/>
      <c r="F182" s="22"/>
      <c r="G182" s="2"/>
    </row>
    <row r="183" spans="1:7" ht="15.75" customHeight="1">
      <c r="A183" s="22"/>
      <c r="B183" s="23"/>
      <c r="C183" s="24"/>
      <c r="D183" s="23"/>
      <c r="E183" s="22"/>
      <c r="F183" s="22"/>
      <c r="G183" s="2"/>
    </row>
    <row r="184" spans="1:7" ht="15.75" customHeight="1">
      <c r="A184" s="22"/>
      <c r="B184" s="23"/>
      <c r="C184" s="24"/>
      <c r="D184" s="23"/>
      <c r="E184" s="22"/>
      <c r="F184" s="22"/>
      <c r="G184" s="2"/>
    </row>
    <row r="185" spans="1:7" ht="15.75" customHeight="1">
      <c r="A185" s="22"/>
      <c r="B185" s="23"/>
      <c r="C185" s="24"/>
      <c r="D185" s="23"/>
      <c r="E185" s="22"/>
      <c r="F185" s="22"/>
      <c r="G185" s="2"/>
    </row>
    <row r="186" spans="1:7" ht="15.75" customHeight="1">
      <c r="A186" s="22"/>
      <c r="B186" s="23"/>
      <c r="C186" s="24"/>
      <c r="D186" s="23"/>
      <c r="E186" s="22"/>
      <c r="F186" s="22"/>
      <c r="G186" s="2"/>
    </row>
    <row r="187" spans="1:7" ht="15.75" customHeight="1">
      <c r="A187" s="22"/>
      <c r="B187" s="23"/>
      <c r="C187" s="24"/>
      <c r="D187" s="23"/>
      <c r="E187" s="22"/>
      <c r="F187" s="22"/>
      <c r="G187" s="2"/>
    </row>
    <row r="188" spans="1:7" ht="15.75" customHeight="1">
      <c r="A188" s="22"/>
      <c r="B188" s="23"/>
      <c r="C188" s="24"/>
      <c r="D188" s="23"/>
      <c r="E188" s="22"/>
      <c r="F188" s="22"/>
      <c r="G188" s="2"/>
    </row>
    <row r="189" spans="1:7" ht="15.75" customHeight="1">
      <c r="A189" s="22"/>
      <c r="B189" s="23"/>
      <c r="C189" s="24"/>
      <c r="D189" s="23"/>
      <c r="E189" s="22"/>
      <c r="F189" s="22"/>
      <c r="G189" s="2"/>
    </row>
    <row r="190" spans="1:7" ht="15.75" customHeight="1">
      <c r="A190" s="22"/>
      <c r="B190" s="23"/>
      <c r="C190" s="24"/>
      <c r="D190" s="23"/>
      <c r="E190" s="22"/>
      <c r="F190" s="22"/>
      <c r="G190" s="2"/>
    </row>
    <row r="191" spans="1:7" ht="15.75" customHeight="1"/>
    <row r="192" spans="1:7"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0"/>
  <sheetViews>
    <sheetView workbookViewId="0">
      <pane ySplit="4" topLeftCell="A5" activePane="bottomLeft" state="frozen"/>
      <selection pane="bottomLeft" activeCell="B6" sqref="B6"/>
    </sheetView>
  </sheetViews>
  <sheetFormatPr defaultColWidth="14.42578125" defaultRowHeight="15" customHeight="1"/>
  <cols>
    <col min="1" max="1" width="14" customWidth="1"/>
    <col min="2" max="2" width="32" customWidth="1"/>
    <col min="3" max="6" width="14" customWidth="1"/>
    <col min="7" max="7" width="22" customWidth="1"/>
    <col min="8" max="26" width="8.7109375" customWidth="1"/>
  </cols>
  <sheetData>
    <row r="1" spans="1:7" ht="18.75">
      <c r="A1" s="9" t="s">
        <v>300</v>
      </c>
    </row>
    <row r="2" spans="1:7">
      <c r="A2" s="87" t="s">
        <v>301</v>
      </c>
      <c r="B2" s="86"/>
      <c r="C2" s="86"/>
      <c r="D2" s="86"/>
      <c r="E2" s="86"/>
      <c r="F2" s="86"/>
      <c r="G2" s="86"/>
    </row>
    <row r="4" spans="1:7">
      <c r="A4" s="3" t="s">
        <v>294</v>
      </c>
      <c r="B4" s="3" t="s">
        <v>295</v>
      </c>
      <c r="C4" s="3" t="s">
        <v>296</v>
      </c>
      <c r="D4" s="3" t="s">
        <v>297</v>
      </c>
      <c r="E4" s="3" t="s">
        <v>298</v>
      </c>
      <c r="F4" s="3" t="s">
        <v>262</v>
      </c>
      <c r="G4" s="3" t="s">
        <v>299</v>
      </c>
    </row>
    <row r="5" spans="1:7">
      <c r="A5" s="22"/>
      <c r="B5" s="23"/>
      <c r="C5" s="24"/>
      <c r="D5" s="23"/>
      <c r="E5" s="22"/>
      <c r="F5" s="22"/>
      <c r="G5" s="2"/>
    </row>
    <row r="6" spans="1:7">
      <c r="A6" s="22"/>
      <c r="B6" s="23"/>
      <c r="C6" s="24"/>
      <c r="D6" s="23"/>
      <c r="E6" s="22"/>
      <c r="F6" s="22"/>
      <c r="G6" s="2"/>
    </row>
    <row r="7" spans="1:7">
      <c r="A7" s="22"/>
      <c r="B7" s="23"/>
      <c r="C7" s="24"/>
      <c r="D7" s="23"/>
      <c r="E7" s="22"/>
      <c r="F7" s="22"/>
      <c r="G7" s="2"/>
    </row>
    <row r="8" spans="1:7">
      <c r="A8" s="22"/>
      <c r="B8" s="23"/>
      <c r="C8" s="24"/>
      <c r="D8" s="23"/>
      <c r="E8" s="22"/>
      <c r="F8" s="22"/>
      <c r="G8" s="2"/>
    </row>
    <row r="9" spans="1:7">
      <c r="A9" s="22"/>
      <c r="B9" s="23"/>
      <c r="C9" s="24"/>
      <c r="D9" s="23"/>
      <c r="E9" s="22"/>
      <c r="F9" s="22"/>
      <c r="G9" s="2"/>
    </row>
    <row r="10" spans="1:7">
      <c r="A10" s="22"/>
      <c r="B10" s="23"/>
      <c r="C10" s="24"/>
      <c r="D10" s="23"/>
      <c r="E10" s="22"/>
      <c r="F10" s="22"/>
      <c r="G10" s="2"/>
    </row>
    <row r="11" spans="1:7">
      <c r="A11" s="22"/>
      <c r="B11" s="23"/>
      <c r="C11" s="24"/>
      <c r="D11" s="23"/>
      <c r="E11" s="22"/>
      <c r="F11" s="22"/>
      <c r="G11" s="2"/>
    </row>
    <row r="12" spans="1:7">
      <c r="A12" s="22"/>
      <c r="B12" s="23"/>
      <c r="C12" s="24"/>
      <c r="D12" s="23"/>
      <c r="E12" s="22"/>
      <c r="F12" s="22"/>
      <c r="G12" s="2"/>
    </row>
    <row r="13" spans="1:7">
      <c r="A13" s="22"/>
      <c r="B13" s="23"/>
      <c r="C13" s="24"/>
      <c r="D13" s="23"/>
      <c r="E13" s="22"/>
      <c r="F13" s="22"/>
      <c r="G13" s="2"/>
    </row>
    <row r="14" spans="1:7">
      <c r="A14" s="22"/>
      <c r="B14" s="23"/>
      <c r="C14" s="24"/>
      <c r="D14" s="23"/>
      <c r="E14" s="22"/>
      <c r="F14" s="22"/>
      <c r="G14" s="2"/>
    </row>
    <row r="15" spans="1:7">
      <c r="A15" s="22"/>
      <c r="B15" s="23"/>
      <c r="C15" s="24"/>
      <c r="D15" s="23"/>
      <c r="E15" s="22"/>
      <c r="F15" s="22"/>
      <c r="G15" s="2"/>
    </row>
    <row r="16" spans="1:7">
      <c r="A16" s="22"/>
      <c r="B16" s="23"/>
      <c r="C16" s="24"/>
      <c r="D16" s="23"/>
      <c r="E16" s="22"/>
      <c r="F16" s="22"/>
      <c r="G16" s="2"/>
    </row>
    <row r="17" spans="1:7">
      <c r="A17" s="22"/>
      <c r="B17" s="23"/>
      <c r="C17" s="24"/>
      <c r="D17" s="23"/>
      <c r="E17" s="22"/>
      <c r="F17" s="22"/>
      <c r="G17" s="2"/>
    </row>
    <row r="18" spans="1:7">
      <c r="A18" s="22"/>
      <c r="B18" s="23"/>
      <c r="C18" s="24"/>
      <c r="D18" s="23"/>
      <c r="E18" s="22"/>
      <c r="F18" s="22"/>
      <c r="G18" s="2"/>
    </row>
    <row r="19" spans="1:7">
      <c r="A19" s="22"/>
      <c r="B19" s="23"/>
      <c r="C19" s="24"/>
      <c r="D19" s="23"/>
      <c r="E19" s="22"/>
      <c r="F19" s="22"/>
      <c r="G19" s="2"/>
    </row>
    <row r="20" spans="1:7">
      <c r="A20" s="22"/>
      <c r="B20" s="23"/>
      <c r="C20" s="24"/>
      <c r="D20" s="23"/>
      <c r="E20" s="22"/>
      <c r="F20" s="22"/>
      <c r="G20" s="2"/>
    </row>
    <row r="21" spans="1:7" ht="15.75" customHeight="1">
      <c r="A21" s="22"/>
      <c r="B21" s="23"/>
      <c r="C21" s="24"/>
      <c r="D21" s="23"/>
      <c r="E21" s="22"/>
      <c r="F21" s="22"/>
      <c r="G21" s="2"/>
    </row>
    <row r="22" spans="1:7" ht="15.75" customHeight="1">
      <c r="A22" s="22"/>
      <c r="B22" s="23"/>
      <c r="C22" s="24"/>
      <c r="D22" s="23"/>
      <c r="E22" s="22"/>
      <c r="F22" s="22"/>
      <c r="G22" s="2"/>
    </row>
    <row r="23" spans="1:7" ht="15.75" customHeight="1">
      <c r="A23" s="22"/>
      <c r="B23" s="23"/>
      <c r="C23" s="24"/>
      <c r="D23" s="23"/>
      <c r="E23" s="22"/>
      <c r="F23" s="22"/>
      <c r="G23" s="2"/>
    </row>
    <row r="24" spans="1:7" ht="15.75" customHeight="1">
      <c r="A24" s="22"/>
      <c r="B24" s="23"/>
      <c r="C24" s="24"/>
      <c r="D24" s="23"/>
      <c r="E24" s="22"/>
      <c r="F24" s="22"/>
      <c r="G24" s="2"/>
    </row>
    <row r="25" spans="1:7" ht="15.75" customHeight="1">
      <c r="A25" s="22"/>
      <c r="B25" s="23"/>
      <c r="C25" s="24"/>
      <c r="D25" s="23"/>
      <c r="E25" s="22"/>
      <c r="F25" s="22"/>
      <c r="G25" s="2"/>
    </row>
    <row r="26" spans="1:7" ht="15.75" customHeight="1">
      <c r="A26" s="22"/>
      <c r="B26" s="23"/>
      <c r="C26" s="24"/>
      <c r="D26" s="23"/>
      <c r="E26" s="22"/>
      <c r="F26" s="22"/>
      <c r="G26" s="2"/>
    </row>
    <row r="27" spans="1:7" ht="15.75" customHeight="1">
      <c r="A27" s="22"/>
      <c r="B27" s="23"/>
      <c r="C27" s="24"/>
      <c r="D27" s="23"/>
      <c r="E27" s="22"/>
      <c r="F27" s="22"/>
      <c r="G27" s="2"/>
    </row>
    <row r="28" spans="1:7" ht="15.75" customHeight="1">
      <c r="A28" s="22"/>
      <c r="B28" s="23"/>
      <c r="C28" s="24"/>
      <c r="D28" s="23"/>
      <c r="E28" s="22"/>
      <c r="F28" s="22"/>
      <c r="G28" s="2"/>
    </row>
    <row r="29" spans="1:7" ht="15.75" customHeight="1">
      <c r="A29" s="22"/>
      <c r="B29" s="23"/>
      <c r="C29" s="24"/>
      <c r="D29" s="23"/>
      <c r="E29" s="22"/>
      <c r="F29" s="22"/>
      <c r="G29" s="2"/>
    </row>
    <row r="30" spans="1:7" ht="15.75" customHeight="1">
      <c r="A30" s="22"/>
      <c r="B30" s="23"/>
      <c r="C30" s="24"/>
      <c r="D30" s="23"/>
      <c r="E30" s="22"/>
      <c r="F30" s="22"/>
      <c r="G30" s="2"/>
    </row>
    <row r="31" spans="1:7" ht="15.75" customHeight="1">
      <c r="A31" s="22"/>
      <c r="B31" s="23"/>
      <c r="C31" s="24"/>
      <c r="D31" s="23"/>
      <c r="E31" s="22"/>
      <c r="F31" s="22"/>
      <c r="G31" s="2"/>
    </row>
    <row r="32" spans="1:7" ht="15.75" customHeight="1">
      <c r="A32" s="22"/>
      <c r="B32" s="23"/>
      <c r="C32" s="24"/>
      <c r="D32" s="23"/>
      <c r="E32" s="22"/>
      <c r="F32" s="22"/>
      <c r="G32" s="2"/>
    </row>
    <row r="33" spans="1:7" ht="15.75" customHeight="1">
      <c r="A33" s="22"/>
      <c r="B33" s="23"/>
      <c r="C33" s="24"/>
      <c r="D33" s="23"/>
      <c r="E33" s="22"/>
      <c r="F33" s="22"/>
      <c r="G33" s="2"/>
    </row>
    <row r="34" spans="1:7" ht="15.75" customHeight="1">
      <c r="A34" s="22"/>
      <c r="B34" s="23"/>
      <c r="C34" s="24"/>
      <c r="D34" s="23"/>
      <c r="E34" s="22"/>
      <c r="F34" s="22"/>
      <c r="G34" s="2"/>
    </row>
    <row r="35" spans="1:7" ht="15.75" customHeight="1">
      <c r="A35" s="22"/>
      <c r="B35" s="23"/>
      <c r="C35" s="24"/>
      <c r="D35" s="23"/>
      <c r="E35" s="22"/>
      <c r="F35" s="22"/>
      <c r="G35" s="2"/>
    </row>
    <row r="36" spans="1:7" ht="15.75" customHeight="1">
      <c r="A36" s="22"/>
      <c r="B36" s="23"/>
      <c r="C36" s="24"/>
      <c r="D36" s="23"/>
      <c r="E36" s="22"/>
      <c r="F36" s="22"/>
      <c r="G36" s="2"/>
    </row>
    <row r="37" spans="1:7" ht="15.75" customHeight="1">
      <c r="A37" s="22"/>
      <c r="B37" s="23"/>
      <c r="C37" s="24"/>
      <c r="D37" s="23"/>
      <c r="E37" s="22"/>
      <c r="F37" s="22"/>
      <c r="G37" s="2"/>
    </row>
    <row r="38" spans="1:7" ht="15.75" customHeight="1">
      <c r="A38" s="22"/>
      <c r="B38" s="23"/>
      <c r="C38" s="24"/>
      <c r="D38" s="23"/>
      <c r="E38" s="22"/>
      <c r="F38" s="22"/>
      <c r="G38" s="2"/>
    </row>
    <row r="39" spans="1:7" ht="15.75" customHeight="1">
      <c r="A39" s="22"/>
      <c r="B39" s="23"/>
      <c r="C39" s="24"/>
      <c r="D39" s="23"/>
      <c r="E39" s="22"/>
      <c r="F39" s="22"/>
      <c r="G39" s="2"/>
    </row>
    <row r="40" spans="1:7" ht="15.75" customHeight="1">
      <c r="A40" s="22"/>
      <c r="B40" s="23"/>
      <c r="C40" s="24"/>
      <c r="D40" s="23"/>
      <c r="E40" s="22"/>
      <c r="F40" s="22"/>
      <c r="G40" s="2"/>
    </row>
    <row r="41" spans="1:7" ht="15.75" customHeight="1">
      <c r="A41" s="22"/>
      <c r="B41" s="23"/>
      <c r="C41" s="24"/>
      <c r="D41" s="23"/>
      <c r="E41" s="22"/>
      <c r="F41" s="22"/>
      <c r="G41" s="2"/>
    </row>
    <row r="42" spans="1:7" ht="15.75" customHeight="1">
      <c r="A42" s="22"/>
      <c r="B42" s="23"/>
      <c r="C42" s="24"/>
      <c r="D42" s="23"/>
      <c r="E42" s="22"/>
      <c r="F42" s="22"/>
      <c r="G42" s="2"/>
    </row>
    <row r="43" spans="1:7" ht="15.75" customHeight="1">
      <c r="A43" s="22"/>
      <c r="B43" s="23"/>
      <c r="C43" s="24"/>
      <c r="D43" s="23"/>
      <c r="E43" s="22"/>
      <c r="F43" s="22"/>
      <c r="G43" s="2"/>
    </row>
    <row r="44" spans="1:7" ht="15.75" customHeight="1">
      <c r="A44" s="22"/>
      <c r="B44" s="23"/>
      <c r="C44" s="24"/>
      <c r="D44" s="23"/>
      <c r="E44" s="22"/>
      <c r="F44" s="22"/>
      <c r="G44" s="2"/>
    </row>
    <row r="45" spans="1:7" ht="15.75" customHeight="1">
      <c r="A45" s="22"/>
      <c r="B45" s="23"/>
      <c r="C45" s="24"/>
      <c r="D45" s="23"/>
      <c r="E45" s="22"/>
      <c r="F45" s="22"/>
      <c r="G45" s="2"/>
    </row>
    <row r="46" spans="1:7" ht="15.75" customHeight="1">
      <c r="A46" s="22"/>
      <c r="B46" s="23"/>
      <c r="C46" s="24"/>
      <c r="D46" s="23"/>
      <c r="E46" s="22"/>
      <c r="F46" s="22"/>
      <c r="G46" s="2"/>
    </row>
    <row r="47" spans="1:7" ht="15.75" customHeight="1">
      <c r="A47" s="22"/>
      <c r="B47" s="23"/>
      <c r="C47" s="24"/>
      <c r="D47" s="23"/>
      <c r="E47" s="22"/>
      <c r="F47" s="22"/>
      <c r="G47" s="2"/>
    </row>
    <row r="48" spans="1:7" ht="15.75" customHeight="1">
      <c r="A48" s="22"/>
      <c r="B48" s="23"/>
      <c r="C48" s="24"/>
      <c r="D48" s="23"/>
      <c r="E48" s="22"/>
      <c r="F48" s="22"/>
      <c r="G48" s="2"/>
    </row>
    <row r="49" spans="1:7" ht="15.75" customHeight="1">
      <c r="A49" s="22"/>
      <c r="B49" s="23"/>
      <c r="C49" s="24"/>
      <c r="D49" s="23"/>
      <c r="E49" s="22"/>
      <c r="F49" s="22"/>
      <c r="G49" s="2"/>
    </row>
    <row r="50" spans="1:7" ht="15.75" customHeight="1">
      <c r="A50" s="22"/>
      <c r="B50" s="23"/>
      <c r="C50" s="24"/>
      <c r="D50" s="23"/>
      <c r="E50" s="22"/>
      <c r="F50" s="22"/>
      <c r="G50" s="2"/>
    </row>
    <row r="51" spans="1:7" ht="15.75" customHeight="1"/>
    <row r="52" spans="1:7" ht="15.75" customHeight="1"/>
    <row r="53" spans="1:7" ht="15.75" customHeight="1"/>
    <row r="54" spans="1:7" ht="15.75" customHeight="1"/>
    <row r="55" spans="1:7" ht="15.75" customHeight="1"/>
    <row r="56" spans="1:7" ht="15.75" customHeight="1"/>
    <row r="57" spans="1:7" ht="15.75" customHeight="1"/>
    <row r="58" spans="1:7" ht="15.75" customHeight="1"/>
    <row r="59" spans="1:7" ht="15.75" customHeight="1"/>
    <row r="60" spans="1:7" ht="15.75" customHeight="1"/>
    <row r="61" spans="1:7" ht="15.75" customHeight="1"/>
    <row r="62" spans="1:7" ht="15.75" customHeight="1"/>
    <row r="63" spans="1:7" ht="15.75" customHeight="1"/>
    <row r="64" spans="1: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pane ySplit="4" topLeftCell="A5" activePane="bottomLeft" state="frozen"/>
      <selection pane="bottomLeft" activeCell="B6" sqref="B6"/>
    </sheetView>
  </sheetViews>
  <sheetFormatPr defaultColWidth="14.42578125" defaultRowHeight="15" customHeight="1"/>
  <cols>
    <col min="1" max="1" width="14" customWidth="1"/>
    <col min="2" max="2" width="32" customWidth="1"/>
    <col min="3" max="5" width="14" customWidth="1"/>
    <col min="6" max="6" width="27.5703125" customWidth="1"/>
    <col min="7" max="7" width="22" customWidth="1"/>
    <col min="8" max="26" width="8.7109375" customWidth="1"/>
  </cols>
  <sheetData>
    <row r="1" spans="1:7" ht="18.75">
      <c r="A1" s="9" t="s">
        <v>302</v>
      </c>
    </row>
    <row r="2" spans="1:7">
      <c r="A2" s="87" t="s">
        <v>303</v>
      </c>
      <c r="B2" s="86"/>
      <c r="C2" s="86"/>
      <c r="D2" s="86"/>
      <c r="E2" s="86"/>
      <c r="F2" s="86"/>
      <c r="G2" s="86"/>
    </row>
    <row r="4" spans="1:7">
      <c r="A4" s="3" t="s">
        <v>296</v>
      </c>
      <c r="B4" s="3" t="s">
        <v>304</v>
      </c>
      <c r="C4" s="3" t="s">
        <v>84</v>
      </c>
      <c r="D4" s="3" t="s">
        <v>305</v>
      </c>
      <c r="E4" s="3" t="s">
        <v>306</v>
      </c>
      <c r="F4" s="3" t="s">
        <v>307</v>
      </c>
      <c r="G4" s="3" t="s">
        <v>299</v>
      </c>
    </row>
    <row r="5" spans="1:7">
      <c r="A5" s="24"/>
      <c r="B5" s="23"/>
      <c r="C5" s="23"/>
      <c r="D5" s="22"/>
      <c r="E5" s="23"/>
      <c r="F5" s="23"/>
      <c r="G5" s="23"/>
    </row>
    <row r="6" spans="1:7">
      <c r="A6" s="24"/>
      <c r="B6" s="23"/>
      <c r="C6" s="23"/>
      <c r="D6" s="22"/>
      <c r="E6" s="23"/>
      <c r="F6" s="23"/>
      <c r="G6" s="23"/>
    </row>
    <row r="7" spans="1:7">
      <c r="A7" s="24"/>
      <c r="B7" s="23"/>
      <c r="C7" s="23"/>
      <c r="D7" s="22"/>
      <c r="E7" s="23"/>
      <c r="F7" s="23"/>
      <c r="G7" s="23"/>
    </row>
    <row r="8" spans="1:7">
      <c r="A8" s="24"/>
      <c r="B8" s="23"/>
      <c r="C8" s="23"/>
      <c r="D8" s="22"/>
      <c r="E8" s="23"/>
      <c r="F8" s="23"/>
      <c r="G8" s="23"/>
    </row>
    <row r="9" spans="1:7">
      <c r="A9" s="24"/>
      <c r="B9" s="23"/>
      <c r="C9" s="23"/>
      <c r="D9" s="22"/>
      <c r="E9" s="23"/>
      <c r="F9" s="23"/>
      <c r="G9" s="23"/>
    </row>
    <row r="10" spans="1:7">
      <c r="A10" s="24"/>
      <c r="B10" s="23"/>
      <c r="C10" s="23"/>
      <c r="D10" s="22"/>
      <c r="E10" s="23"/>
      <c r="F10" s="23"/>
      <c r="G10" s="23"/>
    </row>
    <row r="11" spans="1:7">
      <c r="A11" s="24"/>
      <c r="B11" s="23"/>
      <c r="C11" s="23"/>
      <c r="D11" s="22"/>
      <c r="E11" s="23"/>
      <c r="F11" s="23"/>
      <c r="G11" s="23"/>
    </row>
    <row r="12" spans="1:7">
      <c r="A12" s="24"/>
      <c r="B12" s="23"/>
      <c r="C12" s="23"/>
      <c r="D12" s="22"/>
      <c r="E12" s="23"/>
      <c r="F12" s="23"/>
      <c r="G12" s="23"/>
    </row>
    <row r="13" spans="1:7">
      <c r="A13" s="24"/>
      <c r="B13" s="23"/>
      <c r="C13" s="23"/>
      <c r="D13" s="22"/>
      <c r="E13" s="23"/>
      <c r="F13" s="23"/>
      <c r="G13" s="23"/>
    </row>
    <row r="14" spans="1:7">
      <c r="A14" s="24"/>
      <c r="B14" s="23"/>
      <c r="C14" s="23"/>
      <c r="D14" s="22"/>
      <c r="E14" s="23"/>
      <c r="F14" s="23"/>
      <c r="G14" s="23"/>
    </row>
    <row r="15" spans="1:7">
      <c r="A15" s="24"/>
      <c r="B15" s="23"/>
      <c r="C15" s="23"/>
      <c r="D15" s="22"/>
      <c r="E15" s="23"/>
      <c r="F15" s="23"/>
      <c r="G15" s="23"/>
    </row>
    <row r="16" spans="1:7">
      <c r="A16" s="24"/>
      <c r="B16" s="23"/>
      <c r="C16" s="23"/>
      <c r="D16" s="22"/>
      <c r="E16" s="23"/>
      <c r="F16" s="23"/>
      <c r="G16" s="23"/>
    </row>
    <row r="17" spans="1:7">
      <c r="A17" s="24"/>
      <c r="B17" s="23"/>
      <c r="C17" s="23"/>
      <c r="D17" s="22"/>
      <c r="E17" s="23"/>
      <c r="F17" s="23"/>
      <c r="G17" s="23"/>
    </row>
    <row r="18" spans="1:7">
      <c r="A18" s="24"/>
      <c r="B18" s="23"/>
      <c r="C18" s="23"/>
      <c r="D18" s="22"/>
      <c r="E18" s="23"/>
      <c r="F18" s="23"/>
      <c r="G18" s="23"/>
    </row>
    <row r="19" spans="1:7">
      <c r="A19" s="24"/>
      <c r="B19" s="23"/>
      <c r="C19" s="23"/>
      <c r="D19" s="22"/>
      <c r="E19" s="23"/>
      <c r="F19" s="23"/>
      <c r="G19" s="23"/>
    </row>
    <row r="20" spans="1:7">
      <c r="A20" s="24"/>
      <c r="B20" s="23"/>
      <c r="C20" s="23"/>
      <c r="D20" s="22"/>
      <c r="E20" s="23"/>
      <c r="F20" s="23"/>
      <c r="G20" s="23"/>
    </row>
    <row r="21" spans="1:7" ht="15.75" customHeight="1">
      <c r="A21" s="24"/>
      <c r="B21" s="23"/>
      <c r="C21" s="23"/>
      <c r="D21" s="22"/>
      <c r="E21" s="23"/>
      <c r="F21" s="23"/>
      <c r="G21" s="23"/>
    </row>
    <row r="22" spans="1:7" ht="15.75" customHeight="1">
      <c r="A22" s="24"/>
      <c r="B22" s="23"/>
      <c r="C22" s="23"/>
      <c r="D22" s="22"/>
      <c r="E22" s="23"/>
      <c r="F22" s="23"/>
      <c r="G22" s="23"/>
    </row>
    <row r="23" spans="1:7" ht="15.75" customHeight="1">
      <c r="A23" s="24"/>
      <c r="B23" s="23"/>
      <c r="C23" s="23"/>
      <c r="D23" s="22"/>
      <c r="E23" s="23"/>
      <c r="F23" s="23"/>
      <c r="G23" s="23"/>
    </row>
    <row r="24" spans="1:7" ht="15.75" customHeight="1">
      <c r="A24" s="24"/>
      <c r="B24" s="23"/>
      <c r="C24" s="23"/>
      <c r="D24" s="22"/>
      <c r="E24" s="23"/>
      <c r="F24" s="23"/>
      <c r="G24" s="23"/>
    </row>
    <row r="25" spans="1:7" ht="15.75" customHeight="1">
      <c r="A25" s="24"/>
      <c r="B25" s="23"/>
      <c r="C25" s="23"/>
      <c r="D25" s="22"/>
      <c r="E25" s="23"/>
      <c r="F25" s="23"/>
      <c r="G25" s="23"/>
    </row>
    <row r="26" spans="1:7" ht="15.75" customHeight="1">
      <c r="A26" s="24"/>
      <c r="B26" s="23"/>
      <c r="C26" s="23"/>
      <c r="D26" s="22"/>
      <c r="E26" s="23"/>
      <c r="F26" s="23"/>
      <c r="G26" s="23"/>
    </row>
    <row r="27" spans="1:7" ht="15.75" customHeight="1">
      <c r="A27" s="24"/>
      <c r="B27" s="25"/>
      <c r="C27" s="23"/>
      <c r="D27" s="22"/>
      <c r="E27" s="23"/>
      <c r="F27" s="23"/>
      <c r="G27" s="23"/>
    </row>
    <row r="28" spans="1:7" ht="15.75" customHeight="1">
      <c r="A28" s="24"/>
      <c r="B28" s="23"/>
      <c r="C28" s="23"/>
      <c r="D28" s="22"/>
      <c r="E28" s="23"/>
      <c r="F28" s="23"/>
      <c r="G28" s="23"/>
    </row>
    <row r="29" spans="1:7" ht="15.75" customHeight="1">
      <c r="A29" s="24"/>
      <c r="B29" s="23"/>
      <c r="C29" s="23"/>
      <c r="D29" s="22"/>
      <c r="E29" s="23"/>
      <c r="F29" s="23"/>
      <c r="G29" s="23"/>
    </row>
    <row r="30" spans="1:7" ht="15.75" customHeight="1">
      <c r="A30" s="24"/>
      <c r="B30" s="23"/>
      <c r="C30" s="23"/>
      <c r="D30" s="22"/>
      <c r="E30" s="23"/>
      <c r="F30" s="23"/>
      <c r="G30" s="23"/>
    </row>
    <row r="31" spans="1:7" ht="15.75" customHeight="1">
      <c r="A31" s="24"/>
      <c r="B31" s="23"/>
      <c r="C31" s="23"/>
      <c r="D31" s="22"/>
      <c r="E31" s="23"/>
      <c r="F31" s="23"/>
      <c r="G31" s="23"/>
    </row>
    <row r="32" spans="1:7" ht="15.75" customHeight="1">
      <c r="A32" s="24"/>
      <c r="B32" s="23"/>
      <c r="C32" s="23"/>
      <c r="D32" s="22"/>
      <c r="E32" s="23"/>
      <c r="F32" s="23"/>
      <c r="G32" s="23"/>
    </row>
    <row r="33" spans="1:7" ht="15.75" customHeight="1">
      <c r="A33" s="24"/>
      <c r="B33" s="23"/>
      <c r="C33" s="23"/>
      <c r="D33" s="22"/>
      <c r="E33" s="23"/>
      <c r="F33" s="23"/>
      <c r="G33" s="23"/>
    </row>
    <row r="34" spans="1:7" ht="15.75" customHeight="1">
      <c r="A34" s="24"/>
      <c r="B34" s="23"/>
      <c r="C34" s="23"/>
      <c r="D34" s="22"/>
      <c r="E34" s="23"/>
      <c r="F34" s="23"/>
      <c r="G34" s="23"/>
    </row>
    <row r="35" spans="1:7" ht="15.75" customHeight="1">
      <c r="A35" s="24"/>
      <c r="B35" s="23"/>
      <c r="C35" s="23"/>
      <c r="D35" s="22"/>
      <c r="E35" s="23"/>
      <c r="F35" s="23"/>
      <c r="G35" s="23"/>
    </row>
    <row r="36" spans="1:7" ht="15.75" customHeight="1">
      <c r="A36" s="24"/>
      <c r="B36" s="23"/>
      <c r="C36" s="23"/>
      <c r="D36" s="22"/>
      <c r="E36" s="23"/>
      <c r="F36" s="23"/>
      <c r="G36" s="23"/>
    </row>
    <row r="37" spans="1:7" ht="15.75" customHeight="1">
      <c r="A37" s="24"/>
      <c r="B37" s="23"/>
      <c r="C37" s="23"/>
      <c r="D37" s="22"/>
      <c r="E37" s="23"/>
      <c r="F37" s="23"/>
      <c r="G37" s="23"/>
    </row>
    <row r="38" spans="1:7" ht="15.75" customHeight="1">
      <c r="A38" s="24"/>
      <c r="B38" s="23"/>
      <c r="C38" s="23"/>
      <c r="D38" s="22"/>
      <c r="E38" s="23"/>
      <c r="F38" s="23"/>
      <c r="G38" s="23"/>
    </row>
    <row r="39" spans="1:7" ht="15.75" customHeight="1">
      <c r="A39" s="24"/>
      <c r="B39" s="23"/>
      <c r="C39" s="23"/>
      <c r="D39" s="22"/>
      <c r="E39" s="23"/>
      <c r="F39" s="23"/>
      <c r="G39" s="23"/>
    </row>
    <row r="40" spans="1:7" ht="15.75" customHeight="1">
      <c r="A40" s="24"/>
      <c r="B40" s="23"/>
      <c r="C40" s="23"/>
      <c r="D40" s="22"/>
      <c r="E40" s="23"/>
      <c r="F40" s="23"/>
      <c r="G40" s="23"/>
    </row>
    <row r="41" spans="1:7" ht="15.75" customHeight="1">
      <c r="A41" s="24"/>
      <c r="B41" s="23"/>
      <c r="C41" s="23"/>
      <c r="D41" s="22"/>
      <c r="E41" s="23"/>
      <c r="F41" s="23"/>
      <c r="G41" s="23"/>
    </row>
    <row r="42" spans="1:7" ht="15.75" customHeight="1">
      <c r="A42" s="24"/>
      <c r="B42" s="23"/>
      <c r="C42" s="23"/>
      <c r="D42" s="22"/>
      <c r="E42" s="23"/>
      <c r="F42" s="23"/>
      <c r="G42" s="23"/>
    </row>
    <row r="43" spans="1:7" ht="15.75" customHeight="1">
      <c r="A43" s="24"/>
      <c r="B43" s="23"/>
      <c r="C43" s="23"/>
      <c r="D43" s="22"/>
      <c r="E43" s="23"/>
      <c r="F43" s="23"/>
      <c r="G43" s="23"/>
    </row>
    <row r="44" spans="1:7" ht="15.75" customHeight="1">
      <c r="A44" s="24"/>
      <c r="B44" s="23"/>
      <c r="C44" s="23"/>
      <c r="D44" s="22"/>
      <c r="E44" s="23"/>
      <c r="F44" s="23"/>
      <c r="G44" s="23"/>
    </row>
    <row r="45" spans="1:7" ht="15.75" customHeight="1">
      <c r="A45" s="24"/>
      <c r="B45" s="23"/>
      <c r="C45" s="23"/>
      <c r="D45" s="22"/>
      <c r="E45" s="23"/>
      <c r="F45" s="23"/>
      <c r="G45" s="23"/>
    </row>
    <row r="46" spans="1:7" ht="15.75" customHeight="1">
      <c r="A46" s="24"/>
      <c r="B46" s="23"/>
      <c r="C46" s="23"/>
      <c r="D46" s="22"/>
      <c r="E46" s="23"/>
      <c r="F46" s="23"/>
      <c r="G46" s="23"/>
    </row>
    <row r="47" spans="1:7" ht="15.75" customHeight="1">
      <c r="A47" s="24"/>
      <c r="B47" s="23"/>
      <c r="C47" s="23"/>
      <c r="D47" s="22"/>
      <c r="E47" s="23"/>
      <c r="F47" s="23"/>
      <c r="G47" s="23"/>
    </row>
    <row r="48" spans="1:7" ht="15.75" customHeight="1">
      <c r="A48" s="24"/>
      <c r="B48" s="23"/>
      <c r="C48" s="23"/>
      <c r="D48" s="22"/>
      <c r="E48" s="23"/>
      <c r="F48" s="23"/>
      <c r="G48" s="23"/>
    </row>
    <row r="49" spans="1:7" ht="15.75" customHeight="1">
      <c r="A49" s="24"/>
      <c r="B49" s="23"/>
      <c r="C49" s="23"/>
      <c r="D49" s="22"/>
      <c r="E49" s="23"/>
      <c r="F49" s="23"/>
      <c r="G49" s="23"/>
    </row>
    <row r="50" spans="1:7" ht="15.75" customHeight="1">
      <c r="A50" s="24"/>
      <c r="B50" s="23"/>
      <c r="C50" s="23"/>
      <c r="D50" s="22"/>
      <c r="E50" s="23"/>
      <c r="F50" s="23"/>
      <c r="G50" s="23"/>
    </row>
    <row r="51" spans="1:7" ht="15.75" customHeight="1">
      <c r="A51" s="24"/>
      <c r="B51" s="23"/>
      <c r="C51" s="23"/>
      <c r="D51" s="22"/>
      <c r="E51" s="23"/>
      <c r="F51" s="23"/>
      <c r="G51" s="23"/>
    </row>
    <row r="52" spans="1:7" ht="15.75" customHeight="1">
      <c r="A52" s="24"/>
      <c r="B52" s="23"/>
      <c r="C52" s="23"/>
      <c r="D52" s="22"/>
      <c r="E52" s="23"/>
      <c r="F52" s="23"/>
      <c r="G52" s="23"/>
    </row>
    <row r="53" spans="1:7" ht="15.75" customHeight="1">
      <c r="A53" s="24"/>
      <c r="B53" s="23"/>
      <c r="C53" s="23"/>
      <c r="D53" s="22"/>
      <c r="E53" s="23"/>
      <c r="F53" s="23"/>
      <c r="G53" s="23"/>
    </row>
    <row r="54" spans="1:7" ht="15.75" customHeight="1">
      <c r="A54" s="24"/>
      <c r="B54" s="23"/>
      <c r="C54" s="23"/>
      <c r="D54" s="22"/>
      <c r="E54" s="23"/>
      <c r="F54" s="23"/>
      <c r="G54" s="23"/>
    </row>
    <row r="55" spans="1:7" ht="15.75" customHeight="1">
      <c r="A55" s="24"/>
      <c r="B55" s="23"/>
      <c r="C55" s="23"/>
      <c r="D55" s="22"/>
      <c r="E55" s="23"/>
      <c r="F55" s="23"/>
      <c r="G55" s="23"/>
    </row>
    <row r="56" spans="1:7" ht="15.75" customHeight="1">
      <c r="A56" s="24"/>
      <c r="B56" s="23"/>
      <c r="C56" s="23"/>
      <c r="D56" s="22"/>
      <c r="E56" s="23"/>
      <c r="F56" s="23"/>
      <c r="G56" s="23"/>
    </row>
    <row r="57" spans="1:7" ht="15.75" customHeight="1">
      <c r="A57" s="24"/>
      <c r="B57" s="23"/>
      <c r="C57" s="23"/>
      <c r="D57" s="22"/>
      <c r="E57" s="23"/>
      <c r="F57" s="23"/>
      <c r="G57" s="23"/>
    </row>
    <row r="58" spans="1:7" ht="15.75" customHeight="1">
      <c r="A58" s="24"/>
      <c r="B58" s="23"/>
      <c r="C58" s="23"/>
      <c r="D58" s="22"/>
      <c r="E58" s="23"/>
      <c r="F58" s="23"/>
      <c r="G58" s="23"/>
    </row>
    <row r="59" spans="1:7" ht="15.75" customHeight="1">
      <c r="A59" s="24"/>
      <c r="B59" s="23"/>
      <c r="C59" s="23"/>
      <c r="D59" s="22"/>
      <c r="E59" s="23"/>
      <c r="F59" s="23"/>
      <c r="G59" s="23"/>
    </row>
    <row r="60" spans="1:7" ht="15.75" customHeight="1">
      <c r="A60" s="24"/>
      <c r="B60" s="23"/>
      <c r="C60" s="23"/>
      <c r="D60" s="22"/>
      <c r="E60" s="23"/>
      <c r="F60" s="23"/>
      <c r="G60" s="23"/>
    </row>
    <row r="61" spans="1:7" ht="15.75" customHeight="1">
      <c r="A61" s="24"/>
      <c r="B61" s="23"/>
      <c r="C61" s="23"/>
      <c r="D61" s="22"/>
      <c r="E61" s="23"/>
      <c r="F61" s="23"/>
      <c r="G61" s="23"/>
    </row>
    <row r="62" spans="1:7" ht="15.75" customHeight="1">
      <c r="A62" s="24"/>
      <c r="B62" s="23"/>
      <c r="C62" s="23"/>
      <c r="D62" s="22"/>
      <c r="E62" s="23"/>
      <c r="F62" s="23"/>
      <c r="G62" s="23"/>
    </row>
    <row r="63" spans="1:7" ht="15.75" customHeight="1">
      <c r="A63" s="24"/>
      <c r="B63" s="23"/>
      <c r="C63" s="23"/>
      <c r="D63" s="22"/>
      <c r="E63" s="23"/>
      <c r="F63" s="23"/>
      <c r="G63" s="23"/>
    </row>
    <row r="64" spans="1:7" ht="15.75" customHeight="1">
      <c r="A64" s="24"/>
      <c r="B64" s="23"/>
      <c r="C64" s="23"/>
      <c r="D64" s="22"/>
      <c r="E64" s="23"/>
      <c r="F64" s="23"/>
      <c r="G64" s="23"/>
    </row>
    <row r="65" spans="1:7" ht="15.75" customHeight="1">
      <c r="A65" s="24"/>
      <c r="B65" s="23"/>
      <c r="C65" s="23"/>
      <c r="D65" s="22"/>
      <c r="E65" s="23"/>
      <c r="F65" s="23"/>
      <c r="G65" s="23"/>
    </row>
    <row r="66" spans="1:7" ht="15.75" customHeight="1">
      <c r="A66" s="24"/>
      <c r="B66" s="23"/>
      <c r="C66" s="23"/>
      <c r="D66" s="22"/>
      <c r="E66" s="23"/>
      <c r="F66" s="23"/>
      <c r="G66" s="23"/>
    </row>
    <row r="67" spans="1:7" ht="15.75" customHeight="1">
      <c r="A67" s="24"/>
      <c r="B67" s="23"/>
      <c r="C67" s="23"/>
      <c r="D67" s="22"/>
      <c r="E67" s="23"/>
      <c r="F67" s="23"/>
      <c r="G67" s="23"/>
    </row>
    <row r="68" spans="1:7" ht="15.75" customHeight="1">
      <c r="A68" s="24"/>
      <c r="B68" s="23"/>
      <c r="C68" s="23"/>
      <c r="D68" s="22"/>
      <c r="E68" s="23"/>
      <c r="F68" s="23"/>
      <c r="G68" s="23"/>
    </row>
    <row r="69" spans="1:7" ht="15.75" customHeight="1">
      <c r="A69" s="24"/>
      <c r="B69" s="23"/>
      <c r="C69" s="23"/>
      <c r="D69" s="22"/>
      <c r="E69" s="23"/>
      <c r="F69" s="23"/>
      <c r="G69" s="23"/>
    </row>
    <row r="70" spans="1:7" ht="15.75" customHeight="1">
      <c r="A70" s="24"/>
      <c r="B70" s="23"/>
      <c r="C70" s="23"/>
      <c r="D70" s="22"/>
      <c r="E70" s="23"/>
      <c r="F70" s="23"/>
      <c r="G70" s="23"/>
    </row>
    <row r="71" spans="1:7" ht="15.75" customHeight="1">
      <c r="A71" s="24"/>
      <c r="B71" s="23"/>
      <c r="C71" s="23"/>
      <c r="D71" s="22"/>
      <c r="E71" s="23"/>
      <c r="F71" s="23"/>
      <c r="G71" s="23"/>
    </row>
    <row r="72" spans="1:7" ht="15.75" customHeight="1">
      <c r="A72" s="24"/>
      <c r="B72" s="23"/>
      <c r="C72" s="23"/>
      <c r="D72" s="22"/>
      <c r="E72" s="23"/>
      <c r="F72" s="23"/>
      <c r="G72" s="23"/>
    </row>
    <row r="73" spans="1:7" ht="15.75" customHeight="1">
      <c r="A73" s="24"/>
      <c r="B73" s="23"/>
      <c r="C73" s="23"/>
      <c r="D73" s="22"/>
      <c r="E73" s="23"/>
      <c r="F73" s="23"/>
      <c r="G73" s="23"/>
    </row>
    <row r="74" spans="1:7" ht="15.75" customHeight="1">
      <c r="A74" s="24"/>
      <c r="B74" s="23"/>
      <c r="C74" s="23"/>
      <c r="D74" s="22"/>
      <c r="E74" s="23"/>
      <c r="F74" s="23"/>
      <c r="G74" s="23"/>
    </row>
    <row r="75" spans="1:7" ht="15.75" customHeight="1">
      <c r="A75" s="24"/>
      <c r="B75" s="23"/>
      <c r="C75" s="23"/>
      <c r="D75" s="22"/>
      <c r="E75" s="23"/>
      <c r="F75" s="23"/>
      <c r="G75" s="23"/>
    </row>
    <row r="76" spans="1:7" ht="15.75" customHeight="1">
      <c r="A76" s="24"/>
      <c r="B76" s="23"/>
      <c r="C76" s="23"/>
      <c r="D76" s="22"/>
      <c r="E76" s="23"/>
      <c r="F76" s="23"/>
      <c r="G76" s="23"/>
    </row>
    <row r="77" spans="1:7" ht="15.75" customHeight="1">
      <c r="A77" s="24"/>
      <c r="B77" s="23"/>
      <c r="C77" s="23"/>
      <c r="D77" s="22"/>
      <c r="E77" s="23"/>
      <c r="F77" s="23"/>
      <c r="G77" s="23"/>
    </row>
    <row r="78" spans="1:7" ht="15.75" customHeight="1">
      <c r="A78" s="24"/>
      <c r="B78" s="23"/>
      <c r="C78" s="23"/>
      <c r="D78" s="22"/>
      <c r="E78" s="23"/>
      <c r="F78" s="23"/>
      <c r="G78" s="23"/>
    </row>
    <row r="79" spans="1:7" ht="15.75" customHeight="1">
      <c r="A79" s="24"/>
      <c r="B79" s="23"/>
      <c r="C79" s="23"/>
      <c r="D79" s="22"/>
      <c r="E79" s="23"/>
      <c r="F79" s="23"/>
      <c r="G79" s="23"/>
    </row>
    <row r="80" spans="1:7" ht="15.75" customHeight="1">
      <c r="A80" s="24"/>
      <c r="B80" s="23"/>
      <c r="C80" s="23"/>
      <c r="D80" s="22"/>
      <c r="E80" s="23"/>
      <c r="F80" s="23"/>
      <c r="G80" s="23"/>
    </row>
    <row r="81" spans="1:7" ht="15.75" customHeight="1">
      <c r="A81" s="24"/>
      <c r="B81" s="23"/>
      <c r="C81" s="23"/>
      <c r="D81" s="22"/>
      <c r="E81" s="23"/>
      <c r="F81" s="23"/>
      <c r="G81" s="23"/>
    </row>
    <row r="82" spans="1:7" ht="15.75" customHeight="1">
      <c r="A82" s="24"/>
      <c r="B82" s="23"/>
      <c r="C82" s="23"/>
      <c r="D82" s="22"/>
      <c r="E82" s="23"/>
      <c r="F82" s="23"/>
      <c r="G82" s="23"/>
    </row>
    <row r="83" spans="1:7" ht="15.75" customHeight="1">
      <c r="A83" s="24"/>
      <c r="B83" s="23"/>
      <c r="C83" s="23"/>
      <c r="D83" s="22"/>
      <c r="E83" s="23"/>
      <c r="F83" s="23"/>
      <c r="G83" s="23"/>
    </row>
    <row r="84" spans="1:7" ht="15.75" customHeight="1">
      <c r="A84" s="24"/>
      <c r="B84" s="23"/>
      <c r="C84" s="23"/>
      <c r="D84" s="22"/>
      <c r="E84" s="23"/>
      <c r="F84" s="23"/>
      <c r="G84" s="23"/>
    </row>
    <row r="85" spans="1:7" ht="15.75" customHeight="1">
      <c r="A85" s="24"/>
      <c r="B85" s="23"/>
      <c r="C85" s="23"/>
      <c r="D85" s="22"/>
      <c r="E85" s="23"/>
      <c r="F85" s="23"/>
      <c r="G85" s="23"/>
    </row>
    <row r="86" spans="1:7" ht="15.75" customHeight="1">
      <c r="A86" s="24"/>
      <c r="B86" s="23"/>
      <c r="C86" s="23"/>
      <c r="D86" s="22"/>
      <c r="E86" s="23"/>
      <c r="F86" s="23"/>
      <c r="G86" s="23"/>
    </row>
    <row r="87" spans="1:7" ht="15.75" customHeight="1">
      <c r="A87" s="24"/>
      <c r="B87" s="23"/>
      <c r="C87" s="23"/>
      <c r="D87" s="22"/>
      <c r="E87" s="23"/>
      <c r="F87" s="23"/>
      <c r="G87" s="23"/>
    </row>
    <row r="88" spans="1:7" ht="15.75" customHeight="1">
      <c r="A88" s="24"/>
      <c r="B88" s="23"/>
      <c r="C88" s="23"/>
      <c r="D88" s="22"/>
      <c r="E88" s="23"/>
      <c r="F88" s="23"/>
      <c r="G88" s="23"/>
    </row>
    <row r="89" spans="1:7" ht="15.75" customHeight="1">
      <c r="A89" s="24"/>
      <c r="B89" s="23"/>
      <c r="C89" s="23"/>
      <c r="D89" s="22"/>
      <c r="E89" s="23"/>
      <c r="F89" s="23"/>
      <c r="G89" s="23"/>
    </row>
    <row r="90" spans="1:7" ht="15.75" customHeight="1">
      <c r="A90" s="24"/>
      <c r="B90" s="23"/>
      <c r="C90" s="23"/>
      <c r="D90" s="22"/>
      <c r="E90" s="23"/>
      <c r="F90" s="23"/>
      <c r="G90" s="23"/>
    </row>
    <row r="91" spans="1:7" ht="15.75" customHeight="1">
      <c r="A91" s="24"/>
      <c r="B91" s="23"/>
      <c r="C91" s="23"/>
      <c r="D91" s="22"/>
      <c r="E91" s="23"/>
      <c r="F91" s="23"/>
      <c r="G91" s="23"/>
    </row>
    <row r="92" spans="1:7" ht="15.75" customHeight="1">
      <c r="A92" s="24"/>
      <c r="B92" s="23"/>
      <c r="C92" s="23"/>
      <c r="D92" s="22"/>
      <c r="E92" s="23"/>
      <c r="F92" s="23"/>
      <c r="G92" s="23"/>
    </row>
    <row r="93" spans="1:7" ht="15.75" customHeight="1">
      <c r="A93" s="24"/>
      <c r="B93" s="23"/>
      <c r="C93" s="23"/>
      <c r="D93" s="22"/>
      <c r="E93" s="23"/>
      <c r="F93" s="23"/>
      <c r="G93" s="23"/>
    </row>
    <row r="94" spans="1:7" ht="15.75" customHeight="1">
      <c r="A94" s="24"/>
      <c r="B94" s="23"/>
      <c r="C94" s="23"/>
      <c r="D94" s="22"/>
      <c r="E94" s="23"/>
      <c r="F94" s="23"/>
      <c r="G94" s="23"/>
    </row>
    <row r="95" spans="1:7" ht="15.75" customHeight="1">
      <c r="A95" s="24"/>
      <c r="B95" s="23"/>
      <c r="C95" s="23"/>
      <c r="D95" s="22"/>
      <c r="E95" s="23"/>
      <c r="F95" s="23"/>
      <c r="G95" s="23"/>
    </row>
    <row r="96" spans="1:7" ht="15.75" customHeight="1">
      <c r="A96" s="24"/>
      <c r="B96" s="23"/>
      <c r="C96" s="23"/>
      <c r="D96" s="22"/>
      <c r="E96" s="23"/>
      <c r="F96" s="23"/>
      <c r="G96" s="23"/>
    </row>
    <row r="97" spans="1:7" ht="15.75" customHeight="1">
      <c r="A97" s="24"/>
      <c r="B97" s="23"/>
      <c r="C97" s="23"/>
      <c r="D97" s="22"/>
      <c r="E97" s="23"/>
      <c r="F97" s="23"/>
      <c r="G97" s="23"/>
    </row>
    <row r="98" spans="1:7" ht="15.75" customHeight="1">
      <c r="A98" s="24"/>
      <c r="B98" s="23"/>
      <c r="C98" s="23"/>
      <c r="D98" s="22"/>
      <c r="E98" s="23"/>
      <c r="F98" s="23"/>
      <c r="G98" s="23"/>
    </row>
    <row r="99" spans="1:7" ht="15.75" customHeight="1">
      <c r="A99" s="24"/>
      <c r="B99" s="23"/>
      <c r="C99" s="23"/>
      <c r="D99" s="22"/>
      <c r="E99" s="23"/>
      <c r="F99" s="23"/>
      <c r="G99" s="23"/>
    </row>
    <row r="100" spans="1:7" ht="15.75" customHeight="1">
      <c r="A100" s="24"/>
      <c r="B100" s="23"/>
      <c r="C100" s="23"/>
      <c r="D100" s="22"/>
      <c r="E100" s="23"/>
      <c r="F100" s="23"/>
      <c r="G100" s="23"/>
    </row>
    <row r="101" spans="1:7" ht="15.75" customHeight="1">
      <c r="A101" s="24"/>
      <c r="B101" s="23"/>
      <c r="C101" s="23"/>
      <c r="D101" s="22"/>
      <c r="E101" s="23"/>
      <c r="F101" s="23"/>
      <c r="G101" s="23"/>
    </row>
    <row r="102" spans="1:7" ht="15.75" customHeight="1">
      <c r="A102" s="24"/>
      <c r="B102" s="23"/>
      <c r="C102" s="23"/>
      <c r="D102" s="22"/>
      <c r="E102" s="23"/>
      <c r="F102" s="23"/>
      <c r="G102" s="23"/>
    </row>
    <row r="103" spans="1:7" ht="15.75" customHeight="1">
      <c r="A103" s="24"/>
      <c r="B103" s="23"/>
      <c r="C103" s="23"/>
      <c r="D103" s="22"/>
      <c r="E103" s="23"/>
      <c r="F103" s="23"/>
      <c r="G103" s="23"/>
    </row>
    <row r="104" spans="1:7" ht="15.75" customHeight="1">
      <c r="A104" s="24"/>
      <c r="B104" s="23"/>
      <c r="C104" s="23"/>
      <c r="D104" s="22"/>
      <c r="E104" s="23"/>
      <c r="F104" s="23"/>
      <c r="G104" s="23"/>
    </row>
    <row r="105" spans="1:7" ht="15.75" customHeight="1">
      <c r="A105" s="24"/>
      <c r="B105" s="23"/>
      <c r="C105" s="23"/>
      <c r="D105" s="22"/>
      <c r="E105" s="23"/>
      <c r="F105" s="23"/>
      <c r="G105" s="23"/>
    </row>
    <row r="106" spans="1:7" ht="15.75" customHeight="1">
      <c r="A106" s="24"/>
      <c r="B106" s="23"/>
      <c r="C106" s="23"/>
      <c r="D106" s="22"/>
      <c r="E106" s="23"/>
      <c r="F106" s="23"/>
      <c r="G106" s="23"/>
    </row>
    <row r="107" spans="1:7" ht="15.75" customHeight="1">
      <c r="A107" s="24"/>
      <c r="B107" s="23"/>
      <c r="C107" s="23"/>
      <c r="D107" s="22"/>
      <c r="E107" s="23"/>
      <c r="F107" s="23"/>
      <c r="G107" s="23"/>
    </row>
    <row r="108" spans="1:7" ht="15.75" customHeight="1">
      <c r="A108" s="24"/>
      <c r="B108" s="23"/>
      <c r="C108" s="23"/>
      <c r="D108" s="22"/>
      <c r="E108" s="23"/>
      <c r="F108" s="23"/>
      <c r="G108" s="23"/>
    </row>
    <row r="109" spans="1:7" ht="15.75" customHeight="1">
      <c r="A109" s="24"/>
      <c r="B109" s="23"/>
      <c r="C109" s="23"/>
      <c r="D109" s="22"/>
      <c r="E109" s="23"/>
      <c r="F109" s="23"/>
      <c r="G109" s="23"/>
    </row>
    <row r="110" spans="1:7" ht="15.75" customHeight="1">
      <c r="A110" s="24"/>
      <c r="B110" s="23"/>
      <c r="C110" s="23"/>
      <c r="D110" s="22"/>
      <c r="E110" s="23"/>
      <c r="F110" s="23"/>
      <c r="G110" s="23"/>
    </row>
    <row r="111" spans="1:7" ht="15.75" customHeight="1">
      <c r="A111" s="24"/>
      <c r="B111" s="23"/>
      <c r="C111" s="23"/>
      <c r="D111" s="22"/>
      <c r="E111" s="23"/>
      <c r="F111" s="23"/>
      <c r="G111" s="23"/>
    </row>
    <row r="112" spans="1:7" ht="15.75" customHeight="1">
      <c r="A112" s="24"/>
      <c r="B112" s="23"/>
      <c r="C112" s="23"/>
      <c r="D112" s="22"/>
      <c r="E112" s="23"/>
      <c r="F112" s="23"/>
      <c r="G112" s="23"/>
    </row>
    <row r="113" spans="1:7" ht="15.75" customHeight="1">
      <c r="A113" s="24"/>
      <c r="B113" s="23"/>
      <c r="C113" s="23"/>
      <c r="D113" s="22"/>
      <c r="E113" s="23"/>
      <c r="F113" s="23"/>
      <c r="G113" s="23"/>
    </row>
    <row r="114" spans="1:7" ht="15.75" customHeight="1">
      <c r="A114" s="24"/>
      <c r="B114" s="23"/>
      <c r="C114" s="23"/>
      <c r="D114" s="22"/>
      <c r="E114" s="23"/>
      <c r="F114" s="23"/>
      <c r="G114" s="23"/>
    </row>
    <row r="115" spans="1:7" ht="15.75" customHeight="1">
      <c r="A115" s="24"/>
      <c r="B115" s="23"/>
      <c r="C115" s="23"/>
      <c r="D115" s="22"/>
      <c r="E115" s="23"/>
      <c r="F115" s="23"/>
      <c r="G115" s="23"/>
    </row>
    <row r="116" spans="1:7" ht="15.75" customHeight="1">
      <c r="A116" s="24"/>
      <c r="B116" s="23"/>
      <c r="C116" s="23"/>
      <c r="D116" s="22"/>
      <c r="E116" s="23"/>
      <c r="F116" s="23"/>
      <c r="G116" s="23"/>
    </row>
    <row r="117" spans="1:7" ht="15.75" customHeight="1">
      <c r="A117" s="24"/>
      <c r="B117" s="23"/>
      <c r="C117" s="23"/>
      <c r="D117" s="22"/>
      <c r="E117" s="23"/>
      <c r="F117" s="23"/>
      <c r="G117" s="23"/>
    </row>
    <row r="118" spans="1:7" ht="15.75" customHeight="1">
      <c r="A118" s="24"/>
      <c r="B118" s="23"/>
      <c r="C118" s="23"/>
      <c r="D118" s="22"/>
      <c r="E118" s="23"/>
      <c r="F118" s="23"/>
      <c r="G118" s="23"/>
    </row>
    <row r="119" spans="1:7" ht="15.75" customHeight="1">
      <c r="A119" s="24"/>
      <c r="B119" s="23"/>
      <c r="C119" s="23"/>
      <c r="D119" s="22"/>
      <c r="E119" s="23"/>
      <c r="F119" s="23"/>
      <c r="G119" s="23"/>
    </row>
    <row r="120" spans="1:7" ht="15.75" customHeight="1">
      <c r="A120" s="24"/>
      <c r="B120" s="23"/>
      <c r="C120" s="23"/>
      <c r="D120" s="22"/>
      <c r="E120" s="23"/>
      <c r="F120" s="23"/>
      <c r="G120" s="23"/>
    </row>
    <row r="121" spans="1:7" ht="15.75" customHeight="1">
      <c r="A121" s="24"/>
      <c r="B121" s="23"/>
      <c r="C121" s="23"/>
      <c r="D121" s="22"/>
      <c r="E121" s="23"/>
      <c r="F121" s="23"/>
      <c r="G121" s="23"/>
    </row>
    <row r="122" spans="1:7" ht="15.75" customHeight="1">
      <c r="A122" s="24"/>
      <c r="B122" s="23"/>
      <c r="C122" s="23"/>
      <c r="D122" s="22"/>
      <c r="E122" s="23"/>
      <c r="F122" s="23"/>
      <c r="G122" s="23"/>
    </row>
    <row r="123" spans="1:7" ht="15.75" customHeight="1">
      <c r="A123" s="24"/>
      <c r="B123" s="23"/>
      <c r="C123" s="23"/>
      <c r="D123" s="22"/>
      <c r="E123" s="23"/>
      <c r="F123" s="23"/>
      <c r="G123" s="23"/>
    </row>
    <row r="124" spans="1:7" ht="15.75" customHeight="1">
      <c r="A124" s="24"/>
      <c r="B124" s="23"/>
      <c r="C124" s="23"/>
      <c r="D124" s="22"/>
      <c r="E124" s="23"/>
      <c r="F124" s="23"/>
      <c r="G124" s="23"/>
    </row>
    <row r="125" spans="1:7" ht="15.75" customHeight="1">
      <c r="A125" s="24"/>
      <c r="B125" s="23"/>
      <c r="C125" s="23"/>
      <c r="D125" s="22"/>
      <c r="E125" s="23"/>
      <c r="F125" s="23"/>
      <c r="G125" s="23"/>
    </row>
    <row r="126" spans="1:7" ht="15.75" customHeight="1">
      <c r="A126" s="24"/>
      <c r="B126" s="23"/>
      <c r="C126" s="23"/>
      <c r="D126" s="22"/>
      <c r="E126" s="23"/>
      <c r="F126" s="23"/>
      <c r="G126" s="23"/>
    </row>
    <row r="127" spans="1:7" ht="15.75" customHeight="1">
      <c r="A127" s="24"/>
      <c r="B127" s="23"/>
      <c r="C127" s="23"/>
      <c r="D127" s="22"/>
      <c r="E127" s="23"/>
      <c r="F127" s="23"/>
      <c r="G127" s="23"/>
    </row>
    <row r="128" spans="1:7" ht="15.75" customHeight="1">
      <c r="A128" s="24"/>
      <c r="B128" s="23"/>
      <c r="C128" s="23"/>
      <c r="D128" s="22"/>
      <c r="E128" s="23"/>
      <c r="F128" s="23"/>
      <c r="G128" s="23"/>
    </row>
    <row r="129" spans="1:7" ht="15.75" customHeight="1">
      <c r="A129" s="24"/>
      <c r="B129" s="23"/>
      <c r="C129" s="23"/>
      <c r="D129" s="22"/>
      <c r="E129" s="23"/>
      <c r="F129" s="23"/>
      <c r="G129" s="23"/>
    </row>
    <row r="130" spans="1:7" ht="15.75" customHeight="1">
      <c r="A130" s="24"/>
      <c r="B130" s="23"/>
      <c r="C130" s="23"/>
      <c r="D130" s="22"/>
      <c r="E130" s="23"/>
      <c r="F130" s="23"/>
      <c r="G130" s="23"/>
    </row>
    <row r="131" spans="1:7" ht="15.75" customHeight="1">
      <c r="A131" s="24"/>
      <c r="B131" s="23"/>
      <c r="C131" s="23"/>
      <c r="D131" s="22"/>
      <c r="E131" s="23"/>
      <c r="F131" s="23"/>
      <c r="G131" s="23"/>
    </row>
    <row r="132" spans="1:7" ht="15.75" customHeight="1">
      <c r="A132" s="24"/>
      <c r="B132" s="23"/>
      <c r="C132" s="23"/>
      <c r="D132" s="22"/>
      <c r="E132" s="23"/>
      <c r="F132" s="23"/>
      <c r="G132" s="23"/>
    </row>
    <row r="133" spans="1:7" ht="15.75" customHeight="1">
      <c r="A133" s="24"/>
      <c r="B133" s="23"/>
      <c r="C133" s="23"/>
      <c r="D133" s="22"/>
      <c r="E133" s="23"/>
      <c r="F133" s="23"/>
      <c r="G133" s="23"/>
    </row>
    <row r="134" spans="1:7" ht="15.75" customHeight="1">
      <c r="A134" s="24"/>
      <c r="B134" s="23"/>
      <c r="C134" s="23"/>
      <c r="D134" s="22"/>
      <c r="E134" s="23"/>
      <c r="F134" s="23"/>
      <c r="G134" s="23"/>
    </row>
    <row r="135" spans="1:7" ht="15.75" customHeight="1">
      <c r="A135" s="24"/>
      <c r="B135" s="23"/>
      <c r="C135" s="23"/>
      <c r="D135" s="22"/>
      <c r="E135" s="23"/>
      <c r="F135" s="23"/>
      <c r="G135" s="23"/>
    </row>
    <row r="136" spans="1:7" ht="15.75" customHeight="1">
      <c r="A136" s="24"/>
      <c r="B136" s="23"/>
      <c r="C136" s="23"/>
      <c r="D136" s="22"/>
      <c r="E136" s="23"/>
      <c r="F136" s="23"/>
      <c r="G136" s="23"/>
    </row>
    <row r="137" spans="1:7" ht="15.75" customHeight="1">
      <c r="A137" s="24"/>
      <c r="B137" s="23"/>
      <c r="C137" s="23"/>
      <c r="D137" s="22"/>
      <c r="E137" s="23"/>
      <c r="F137" s="23"/>
      <c r="G137" s="23"/>
    </row>
    <row r="138" spans="1:7" ht="15.75" customHeight="1">
      <c r="A138" s="24"/>
      <c r="B138" s="23"/>
      <c r="C138" s="23"/>
      <c r="D138" s="22"/>
      <c r="E138" s="23"/>
      <c r="F138" s="23"/>
      <c r="G138" s="23"/>
    </row>
    <row r="139" spans="1:7" ht="15.75" customHeight="1">
      <c r="A139" s="24"/>
      <c r="B139" s="23"/>
      <c r="C139" s="23"/>
      <c r="D139" s="22"/>
      <c r="E139" s="23"/>
      <c r="F139" s="23"/>
      <c r="G139" s="23"/>
    </row>
    <row r="140" spans="1:7" ht="15.75" customHeight="1">
      <c r="A140" s="24"/>
      <c r="B140" s="23"/>
      <c r="C140" s="23"/>
      <c r="D140" s="22"/>
      <c r="E140" s="23"/>
      <c r="F140" s="23"/>
      <c r="G140" s="23"/>
    </row>
    <row r="141" spans="1:7" ht="15.75" customHeight="1">
      <c r="A141" s="24"/>
      <c r="B141" s="23"/>
      <c r="C141" s="23"/>
      <c r="D141" s="22"/>
      <c r="E141" s="23"/>
      <c r="F141" s="23"/>
      <c r="G141" s="23"/>
    </row>
    <row r="142" spans="1:7" ht="15.75" customHeight="1">
      <c r="A142" s="24"/>
      <c r="B142" s="23"/>
      <c r="C142" s="23"/>
      <c r="D142" s="22"/>
      <c r="E142" s="23"/>
      <c r="F142" s="23"/>
      <c r="G142" s="23"/>
    </row>
    <row r="143" spans="1:7" ht="15.75" customHeight="1">
      <c r="A143" s="24"/>
      <c r="B143" s="23"/>
      <c r="C143" s="23"/>
      <c r="D143" s="22"/>
      <c r="E143" s="23"/>
      <c r="F143" s="23"/>
      <c r="G143" s="23"/>
    </row>
    <row r="144" spans="1:7" ht="15.75" customHeight="1">
      <c r="A144" s="24"/>
      <c r="B144" s="23"/>
      <c r="C144" s="23"/>
      <c r="D144" s="22"/>
      <c r="E144" s="23"/>
      <c r="F144" s="23"/>
      <c r="G144" s="23"/>
    </row>
    <row r="145" spans="1:7" ht="15.75" customHeight="1">
      <c r="A145" s="24"/>
      <c r="B145" s="23"/>
      <c r="C145" s="23"/>
      <c r="D145" s="22"/>
      <c r="E145" s="23"/>
      <c r="F145" s="23"/>
      <c r="G145" s="23"/>
    </row>
    <row r="146" spans="1:7" ht="15.75" customHeight="1">
      <c r="A146" s="24"/>
      <c r="B146" s="23"/>
      <c r="C146" s="23"/>
      <c r="D146" s="22"/>
      <c r="E146" s="23"/>
      <c r="F146" s="23"/>
      <c r="G146" s="23"/>
    </row>
    <row r="147" spans="1:7" ht="15.75" customHeight="1">
      <c r="A147" s="24"/>
      <c r="B147" s="23"/>
      <c r="C147" s="23"/>
      <c r="D147" s="22"/>
      <c r="E147" s="23"/>
      <c r="F147" s="23"/>
      <c r="G147" s="23"/>
    </row>
    <row r="148" spans="1:7" ht="15.75" customHeight="1">
      <c r="A148" s="24"/>
      <c r="B148" s="23"/>
      <c r="C148" s="23"/>
      <c r="D148" s="22"/>
      <c r="E148" s="23"/>
      <c r="F148" s="23"/>
      <c r="G148" s="23"/>
    </row>
    <row r="149" spans="1:7" ht="15.75" customHeight="1">
      <c r="A149" s="24"/>
      <c r="B149" s="23"/>
      <c r="C149" s="23"/>
      <c r="D149" s="22"/>
      <c r="E149" s="23"/>
      <c r="F149" s="23"/>
      <c r="G149" s="23"/>
    </row>
    <row r="150" spans="1:7" ht="15.75" customHeight="1">
      <c r="A150" s="24"/>
      <c r="B150" s="23"/>
      <c r="C150" s="23"/>
      <c r="D150" s="22"/>
      <c r="E150" s="23"/>
      <c r="F150" s="23"/>
      <c r="G150" s="23"/>
    </row>
    <row r="151" spans="1:7" ht="15.75" customHeight="1">
      <c r="A151" s="24"/>
      <c r="B151" s="23"/>
      <c r="C151" s="23"/>
      <c r="D151" s="22"/>
      <c r="E151" s="23"/>
      <c r="F151" s="23"/>
      <c r="G151" s="23"/>
    </row>
    <row r="152" spans="1:7" ht="15.75" customHeight="1">
      <c r="A152" s="24"/>
      <c r="B152" s="23"/>
      <c r="C152" s="23"/>
      <c r="D152" s="22"/>
      <c r="E152" s="23"/>
      <c r="F152" s="23"/>
      <c r="G152" s="23"/>
    </row>
    <row r="153" spans="1:7" ht="15.75" customHeight="1">
      <c r="A153" s="24"/>
      <c r="B153" s="23"/>
      <c r="C153" s="23"/>
      <c r="D153" s="22"/>
      <c r="E153" s="23"/>
      <c r="F153" s="23"/>
      <c r="G153" s="23"/>
    </row>
    <row r="154" spans="1:7" ht="15.75" customHeight="1">
      <c r="A154" s="24"/>
      <c r="B154" s="23"/>
      <c r="C154" s="23"/>
      <c r="D154" s="22"/>
      <c r="E154" s="23"/>
      <c r="F154" s="23"/>
      <c r="G154" s="23"/>
    </row>
    <row r="155" spans="1:7" ht="15.75" customHeight="1">
      <c r="A155" s="24"/>
      <c r="B155" s="23"/>
      <c r="C155" s="23"/>
      <c r="D155" s="22"/>
      <c r="E155" s="23"/>
      <c r="F155" s="23"/>
      <c r="G155" s="23"/>
    </row>
    <row r="156" spans="1:7" ht="15.75" customHeight="1">
      <c r="A156" s="24"/>
      <c r="B156" s="23"/>
      <c r="C156" s="23"/>
      <c r="D156" s="22"/>
      <c r="E156" s="23"/>
      <c r="F156" s="23"/>
      <c r="G156" s="23"/>
    </row>
    <row r="157" spans="1:7" ht="15.75" customHeight="1">
      <c r="A157" s="24"/>
      <c r="B157" s="23"/>
      <c r="C157" s="23"/>
      <c r="D157" s="22"/>
      <c r="E157" s="23"/>
      <c r="F157" s="23"/>
      <c r="G157" s="23"/>
    </row>
    <row r="158" spans="1:7" ht="15.75" customHeight="1">
      <c r="A158" s="24"/>
      <c r="B158" s="23"/>
      <c r="C158" s="23"/>
      <c r="D158" s="22"/>
      <c r="E158" s="23"/>
      <c r="F158" s="23"/>
      <c r="G158" s="23"/>
    </row>
    <row r="159" spans="1:7" ht="15.75" customHeight="1">
      <c r="A159" s="24"/>
      <c r="B159" s="23"/>
      <c r="C159" s="23"/>
      <c r="D159" s="22"/>
      <c r="E159" s="23"/>
      <c r="F159" s="23"/>
      <c r="G159" s="23"/>
    </row>
    <row r="160" spans="1:7" ht="15.75" customHeight="1">
      <c r="A160" s="24"/>
      <c r="B160" s="23"/>
      <c r="C160" s="23"/>
      <c r="D160" s="22"/>
      <c r="E160" s="23"/>
      <c r="F160" s="23"/>
      <c r="G160" s="23"/>
    </row>
    <row r="161" spans="1:7" ht="15.75" customHeight="1">
      <c r="A161" s="24"/>
      <c r="B161" s="23"/>
      <c r="C161" s="23"/>
      <c r="D161" s="22"/>
      <c r="E161" s="23"/>
      <c r="F161" s="23"/>
      <c r="G161" s="23"/>
    </row>
    <row r="162" spans="1:7" ht="15.75" customHeight="1">
      <c r="A162" s="24"/>
      <c r="B162" s="23"/>
      <c r="C162" s="23"/>
      <c r="D162" s="22"/>
      <c r="E162" s="23"/>
      <c r="F162" s="23"/>
      <c r="G162" s="23"/>
    </row>
    <row r="163" spans="1:7" ht="15.75" customHeight="1">
      <c r="A163" s="24"/>
      <c r="B163" s="23"/>
      <c r="C163" s="23"/>
      <c r="D163" s="22"/>
      <c r="E163" s="23"/>
      <c r="F163" s="23"/>
      <c r="G163" s="23"/>
    </row>
    <row r="164" spans="1:7" ht="15.75" customHeight="1">
      <c r="A164" s="24"/>
      <c r="B164" s="23"/>
      <c r="C164" s="23"/>
      <c r="D164" s="22"/>
      <c r="E164" s="23"/>
      <c r="F164" s="23"/>
      <c r="G164" s="23"/>
    </row>
    <row r="165" spans="1:7" ht="15.75" customHeight="1">
      <c r="A165" s="24"/>
      <c r="B165" s="23"/>
      <c r="C165" s="23"/>
      <c r="D165" s="22"/>
      <c r="E165" s="23"/>
      <c r="F165" s="23"/>
      <c r="G165" s="23"/>
    </row>
    <row r="166" spans="1:7" ht="15.75" customHeight="1">
      <c r="A166" s="24"/>
      <c r="B166" s="23"/>
      <c r="C166" s="23"/>
      <c r="D166" s="22"/>
      <c r="E166" s="23"/>
      <c r="F166" s="23"/>
      <c r="G166" s="23"/>
    </row>
    <row r="167" spans="1:7" ht="15.75" customHeight="1">
      <c r="A167" s="24"/>
      <c r="B167" s="23"/>
      <c r="C167" s="23"/>
      <c r="D167" s="22"/>
      <c r="E167" s="23"/>
      <c r="F167" s="23"/>
      <c r="G167" s="23"/>
    </row>
    <row r="168" spans="1:7" ht="15.75" customHeight="1">
      <c r="A168" s="24"/>
      <c r="B168" s="23"/>
      <c r="C168" s="23"/>
      <c r="D168" s="22"/>
      <c r="E168" s="23"/>
      <c r="F168" s="23"/>
      <c r="G168" s="23"/>
    </row>
    <row r="169" spans="1:7" ht="15.75" customHeight="1">
      <c r="A169" s="24"/>
      <c r="B169" s="23"/>
      <c r="C169" s="23"/>
      <c r="D169" s="22"/>
      <c r="E169" s="23"/>
      <c r="F169" s="23"/>
      <c r="G169" s="23"/>
    </row>
    <row r="170" spans="1:7" ht="15.75" customHeight="1">
      <c r="A170" s="24"/>
      <c r="B170" s="23"/>
      <c r="C170" s="23"/>
      <c r="D170" s="22"/>
      <c r="E170" s="23"/>
      <c r="F170" s="23"/>
      <c r="G170" s="23"/>
    </row>
    <row r="171" spans="1:7" ht="15.75" customHeight="1">
      <c r="A171" s="24"/>
      <c r="B171" s="23"/>
      <c r="C171" s="23"/>
      <c r="D171" s="22"/>
      <c r="E171" s="23"/>
      <c r="F171" s="23"/>
      <c r="G171" s="23"/>
    </row>
    <row r="172" spans="1:7" ht="15.75" customHeight="1">
      <c r="A172" s="24"/>
      <c r="B172" s="23"/>
      <c r="C172" s="23"/>
      <c r="D172" s="22"/>
      <c r="E172" s="23"/>
      <c r="F172" s="23"/>
      <c r="G172" s="23"/>
    </row>
    <row r="173" spans="1:7" ht="15.75" customHeight="1">
      <c r="A173" s="24"/>
      <c r="B173" s="23"/>
      <c r="C173" s="23"/>
      <c r="D173" s="22"/>
      <c r="E173" s="23"/>
      <c r="F173" s="23"/>
      <c r="G173" s="23"/>
    </row>
    <row r="174" spans="1:7" ht="15.75" customHeight="1">
      <c r="A174" s="24"/>
      <c r="B174" s="23"/>
      <c r="C174" s="23"/>
      <c r="D174" s="22"/>
      <c r="E174" s="23"/>
      <c r="F174" s="23"/>
      <c r="G174" s="23"/>
    </row>
    <row r="175" spans="1:7" ht="15.75" customHeight="1">
      <c r="A175" s="24"/>
      <c r="B175" s="23"/>
      <c r="C175" s="23"/>
      <c r="D175" s="22"/>
      <c r="E175" s="23"/>
      <c r="F175" s="23"/>
      <c r="G175" s="23"/>
    </row>
    <row r="176" spans="1:7" ht="15.75" customHeight="1">
      <c r="A176" s="24"/>
      <c r="B176" s="23"/>
      <c r="C176" s="23"/>
      <c r="D176" s="22"/>
      <c r="E176" s="23"/>
      <c r="F176" s="23"/>
      <c r="G176" s="23"/>
    </row>
    <row r="177" spans="1:7" ht="15.75" customHeight="1">
      <c r="A177" s="24"/>
      <c r="B177" s="23"/>
      <c r="C177" s="23"/>
      <c r="D177" s="22"/>
      <c r="E177" s="23"/>
      <c r="F177" s="23"/>
      <c r="G177" s="23"/>
    </row>
    <row r="178" spans="1:7" ht="15.75" customHeight="1">
      <c r="A178" s="24"/>
      <c r="B178" s="23"/>
      <c r="C178" s="23"/>
      <c r="D178" s="22"/>
      <c r="E178" s="23"/>
      <c r="F178" s="23"/>
      <c r="G178" s="23"/>
    </row>
    <row r="179" spans="1:7" ht="15.75" customHeight="1">
      <c r="A179" s="24"/>
      <c r="B179" s="23"/>
      <c r="C179" s="23"/>
      <c r="D179" s="22"/>
      <c r="E179" s="23"/>
      <c r="F179" s="23"/>
      <c r="G179" s="23"/>
    </row>
    <row r="180" spans="1:7" ht="15.75" customHeight="1">
      <c r="A180" s="24"/>
      <c r="B180" s="23"/>
      <c r="C180" s="23"/>
      <c r="D180" s="22"/>
      <c r="E180" s="23"/>
      <c r="F180" s="23"/>
      <c r="G180" s="23"/>
    </row>
    <row r="181" spans="1:7" ht="15.75" customHeight="1">
      <c r="A181" s="24"/>
      <c r="B181" s="23"/>
      <c r="C181" s="23"/>
      <c r="D181" s="22"/>
      <c r="E181" s="23"/>
      <c r="F181" s="23"/>
      <c r="G181" s="23"/>
    </row>
    <row r="182" spans="1:7" ht="15.75" customHeight="1">
      <c r="A182" s="24"/>
      <c r="B182" s="23"/>
      <c r="C182" s="23"/>
      <c r="D182" s="22"/>
      <c r="E182" s="23"/>
      <c r="F182" s="23"/>
      <c r="G182" s="23"/>
    </row>
    <row r="183" spans="1:7" ht="15.75" customHeight="1">
      <c r="A183" s="24"/>
      <c r="B183" s="23"/>
      <c r="C183" s="23"/>
      <c r="D183" s="22"/>
      <c r="E183" s="23"/>
      <c r="F183" s="23"/>
      <c r="G183" s="23"/>
    </row>
    <row r="184" spans="1:7" ht="15.75" customHeight="1">
      <c r="A184" s="24"/>
      <c r="B184" s="23"/>
      <c r="C184" s="23"/>
      <c r="D184" s="22"/>
      <c r="E184" s="23"/>
      <c r="F184" s="23"/>
      <c r="G184" s="23"/>
    </row>
    <row r="185" spans="1:7" ht="15.75" customHeight="1">
      <c r="A185" s="24"/>
      <c r="B185" s="23"/>
      <c r="C185" s="23"/>
      <c r="D185" s="22"/>
      <c r="E185" s="23"/>
      <c r="F185" s="23"/>
      <c r="G185" s="23"/>
    </row>
    <row r="186" spans="1:7" ht="15.75" customHeight="1">
      <c r="A186" s="24"/>
      <c r="B186" s="23"/>
      <c r="C186" s="23"/>
      <c r="D186" s="22"/>
      <c r="E186" s="23"/>
      <c r="F186" s="23"/>
      <c r="G186" s="23"/>
    </row>
    <row r="187" spans="1:7" ht="15.75" customHeight="1">
      <c r="A187" s="24"/>
      <c r="B187" s="23"/>
      <c r="C187" s="23"/>
      <c r="D187" s="22"/>
      <c r="E187" s="23"/>
      <c r="F187" s="23"/>
      <c r="G187" s="23"/>
    </row>
    <row r="188" spans="1:7" ht="15.75" customHeight="1">
      <c r="A188" s="24"/>
      <c r="B188" s="23"/>
      <c r="C188" s="23"/>
      <c r="D188" s="22"/>
      <c r="E188" s="23"/>
      <c r="F188" s="23"/>
      <c r="G188" s="23"/>
    </row>
    <row r="189" spans="1:7" ht="15.75" customHeight="1">
      <c r="A189" s="24"/>
      <c r="B189" s="23"/>
      <c r="C189" s="23"/>
      <c r="D189" s="22"/>
      <c r="E189" s="23"/>
      <c r="F189" s="23"/>
      <c r="G189" s="23"/>
    </row>
    <row r="190" spans="1:7" ht="15.75" customHeight="1">
      <c r="A190" s="24"/>
      <c r="B190" s="23"/>
      <c r="C190" s="23"/>
      <c r="D190" s="22"/>
      <c r="E190" s="23"/>
      <c r="F190" s="23"/>
      <c r="G190" s="23"/>
    </row>
    <row r="191" spans="1:7" ht="15.75" customHeight="1">
      <c r="A191" s="24"/>
      <c r="B191" s="23"/>
      <c r="C191" s="23"/>
      <c r="D191" s="22"/>
      <c r="E191" s="23"/>
      <c r="F191" s="23"/>
      <c r="G191" s="23"/>
    </row>
    <row r="192" spans="1:7" ht="15.75" customHeight="1">
      <c r="A192" s="24"/>
      <c r="B192" s="23"/>
      <c r="C192" s="23"/>
      <c r="D192" s="22"/>
      <c r="E192" s="23"/>
      <c r="F192" s="23"/>
      <c r="G192" s="23"/>
    </row>
    <row r="193" spans="1:7" ht="15.75" customHeight="1">
      <c r="A193" s="24"/>
      <c r="B193" s="23"/>
      <c r="C193" s="23"/>
      <c r="D193" s="22"/>
      <c r="E193" s="23"/>
      <c r="F193" s="23"/>
      <c r="G193" s="23"/>
    </row>
    <row r="194" spans="1:7" ht="15.75" customHeight="1">
      <c r="A194" s="24"/>
      <c r="B194" s="23"/>
      <c r="C194" s="23"/>
      <c r="D194" s="22"/>
      <c r="E194" s="23"/>
      <c r="F194" s="23"/>
      <c r="G194" s="23"/>
    </row>
    <row r="195" spans="1:7" ht="15.75" customHeight="1">
      <c r="A195" s="24"/>
      <c r="B195" s="23"/>
      <c r="C195" s="23"/>
      <c r="D195" s="22"/>
      <c r="E195" s="23"/>
      <c r="F195" s="23"/>
      <c r="G195" s="23"/>
    </row>
    <row r="196" spans="1:7" ht="15.75" customHeight="1">
      <c r="A196" s="24"/>
      <c r="B196" s="23"/>
      <c r="C196" s="23"/>
      <c r="D196" s="22"/>
      <c r="E196" s="23"/>
      <c r="F196" s="23"/>
      <c r="G196" s="23"/>
    </row>
    <row r="197" spans="1:7" ht="15.75" customHeight="1">
      <c r="A197" s="24"/>
      <c r="B197" s="23"/>
      <c r="C197" s="23"/>
      <c r="D197" s="22"/>
      <c r="E197" s="23"/>
      <c r="F197" s="23"/>
      <c r="G197" s="23"/>
    </row>
    <row r="198" spans="1:7" ht="15.75" customHeight="1">
      <c r="A198" s="24"/>
      <c r="B198" s="23"/>
      <c r="C198" s="23"/>
      <c r="D198" s="22"/>
      <c r="E198" s="23"/>
      <c r="F198" s="23"/>
      <c r="G198" s="23"/>
    </row>
    <row r="199" spans="1:7" ht="15.75" customHeight="1">
      <c r="A199" s="24"/>
      <c r="B199" s="23"/>
      <c r="C199" s="23"/>
      <c r="D199" s="22"/>
      <c r="E199" s="23"/>
      <c r="F199" s="23"/>
      <c r="G199" s="23"/>
    </row>
    <row r="200" spans="1:7" ht="15.75" customHeight="1">
      <c r="A200" s="24"/>
      <c r="B200" s="23"/>
      <c r="C200" s="23"/>
      <c r="D200" s="22"/>
      <c r="E200" s="23"/>
      <c r="F200" s="23"/>
      <c r="G200" s="23"/>
    </row>
    <row r="201" spans="1:7" ht="15.75" customHeight="1">
      <c r="A201" s="24"/>
      <c r="B201" s="23"/>
      <c r="C201" s="23"/>
      <c r="D201" s="22"/>
      <c r="E201" s="23"/>
      <c r="F201" s="23"/>
      <c r="G201" s="23"/>
    </row>
    <row r="202" spans="1:7" ht="15.75" customHeight="1">
      <c r="A202" s="24"/>
      <c r="B202" s="23"/>
      <c r="C202" s="23"/>
      <c r="D202" s="22"/>
      <c r="E202" s="23"/>
      <c r="F202" s="23"/>
      <c r="G202" s="23"/>
    </row>
    <row r="203" spans="1:7" ht="15.75" customHeight="1">
      <c r="A203" s="24"/>
      <c r="B203" s="23"/>
      <c r="C203" s="23"/>
      <c r="D203" s="22"/>
      <c r="E203" s="23"/>
      <c r="F203" s="23"/>
      <c r="G203" s="23"/>
    </row>
    <row r="204" spans="1:7" ht="15.75" customHeight="1">
      <c r="A204" s="24"/>
      <c r="B204" s="23"/>
      <c r="C204" s="23"/>
      <c r="D204" s="22"/>
      <c r="E204" s="23"/>
      <c r="F204" s="23"/>
      <c r="G204" s="23"/>
    </row>
    <row r="205" spans="1:7" ht="15.75" customHeight="1">
      <c r="A205" s="24"/>
      <c r="B205" s="23"/>
      <c r="C205" s="23"/>
      <c r="D205" s="22"/>
      <c r="E205" s="23"/>
      <c r="F205" s="23"/>
      <c r="G205" s="23"/>
    </row>
    <row r="206" spans="1:7" ht="15.75" customHeight="1">
      <c r="A206" s="24"/>
      <c r="B206" s="23"/>
      <c r="C206" s="23"/>
      <c r="D206" s="22"/>
      <c r="E206" s="23"/>
      <c r="F206" s="23"/>
      <c r="G206" s="23"/>
    </row>
    <row r="207" spans="1:7" ht="15.75" customHeight="1">
      <c r="A207" s="24"/>
      <c r="B207" s="23"/>
      <c r="C207" s="23"/>
      <c r="D207" s="22"/>
      <c r="E207" s="23"/>
      <c r="F207" s="23"/>
      <c r="G207" s="23"/>
    </row>
    <row r="208" spans="1:7" ht="15.75" customHeight="1">
      <c r="A208" s="24"/>
      <c r="B208" s="23"/>
      <c r="C208" s="23"/>
      <c r="D208" s="22"/>
      <c r="E208" s="23"/>
      <c r="F208" s="23"/>
      <c r="G208" s="23"/>
    </row>
    <row r="209" spans="1:7" ht="15.75" customHeight="1">
      <c r="A209" s="24"/>
      <c r="B209" s="23"/>
      <c r="C209" s="23"/>
      <c r="D209" s="22"/>
      <c r="E209" s="23"/>
      <c r="F209" s="23"/>
      <c r="G209" s="23"/>
    </row>
    <row r="210" spans="1:7" ht="15.75" customHeight="1">
      <c r="A210" s="24"/>
      <c r="B210" s="23"/>
      <c r="C210" s="23"/>
      <c r="D210" s="22"/>
      <c r="E210" s="23"/>
      <c r="F210" s="23"/>
      <c r="G210" s="23"/>
    </row>
    <row r="211" spans="1:7" ht="15.75" customHeight="1">
      <c r="A211" s="24"/>
      <c r="B211" s="23"/>
      <c r="C211" s="23"/>
      <c r="D211" s="22"/>
      <c r="E211" s="23"/>
      <c r="F211" s="23"/>
      <c r="G211" s="23"/>
    </row>
    <row r="212" spans="1:7" ht="15.75" customHeight="1">
      <c r="A212" s="24"/>
      <c r="B212" s="23"/>
      <c r="C212" s="23"/>
      <c r="D212" s="22"/>
      <c r="E212" s="23"/>
      <c r="F212" s="23"/>
      <c r="G212" s="23"/>
    </row>
    <row r="213" spans="1:7" ht="15.75" customHeight="1">
      <c r="A213" s="24"/>
      <c r="B213" s="23"/>
      <c r="C213" s="23"/>
      <c r="D213" s="22"/>
      <c r="E213" s="23"/>
      <c r="F213" s="23"/>
      <c r="G213" s="23"/>
    </row>
    <row r="214" spans="1:7" ht="15.75" customHeight="1">
      <c r="A214" s="24"/>
      <c r="B214" s="23"/>
      <c r="C214" s="23"/>
      <c r="D214" s="22"/>
      <c r="E214" s="23"/>
      <c r="F214" s="23"/>
      <c r="G214" s="23"/>
    </row>
    <row r="215" spans="1:7" ht="15.75" customHeight="1">
      <c r="A215" s="24"/>
      <c r="B215" s="23"/>
      <c r="C215" s="23"/>
      <c r="D215" s="22"/>
      <c r="E215" s="23"/>
      <c r="F215" s="23"/>
      <c r="G215" s="23"/>
    </row>
    <row r="216" spans="1:7" ht="15.75" customHeight="1">
      <c r="A216" s="24"/>
      <c r="B216" s="23"/>
      <c r="C216" s="23"/>
      <c r="D216" s="22"/>
      <c r="E216" s="23"/>
      <c r="F216" s="23"/>
      <c r="G216" s="23"/>
    </row>
    <row r="217" spans="1:7" ht="15.75" customHeight="1">
      <c r="A217" s="24"/>
      <c r="B217" s="23"/>
      <c r="C217" s="23"/>
      <c r="D217" s="22"/>
      <c r="E217" s="23"/>
      <c r="F217" s="23"/>
      <c r="G217" s="23"/>
    </row>
    <row r="218" spans="1:7" ht="15.75" customHeight="1">
      <c r="A218" s="24"/>
      <c r="B218" s="23"/>
      <c r="C218" s="23"/>
      <c r="D218" s="22"/>
      <c r="E218" s="23"/>
      <c r="F218" s="23"/>
      <c r="G218" s="23"/>
    </row>
    <row r="219" spans="1:7" ht="15.75" customHeight="1">
      <c r="A219" s="24"/>
      <c r="B219" s="23"/>
      <c r="C219" s="23"/>
      <c r="D219" s="22"/>
      <c r="E219" s="23"/>
      <c r="F219" s="23"/>
      <c r="G219" s="23"/>
    </row>
    <row r="220" spans="1:7" ht="15.75" customHeight="1">
      <c r="A220" s="24"/>
      <c r="B220" s="23"/>
      <c r="C220" s="23"/>
      <c r="D220" s="22"/>
      <c r="E220" s="23"/>
      <c r="F220" s="23"/>
      <c r="G220" s="23"/>
    </row>
    <row r="221" spans="1:7" ht="15.75" customHeight="1">
      <c r="A221" s="24"/>
      <c r="B221" s="23"/>
      <c r="C221" s="23"/>
      <c r="D221" s="22"/>
      <c r="E221" s="23"/>
      <c r="F221" s="23"/>
      <c r="G221" s="23"/>
    </row>
    <row r="222" spans="1:7" ht="15.75" customHeight="1">
      <c r="A222" s="24"/>
      <c r="B222" s="23"/>
      <c r="C222" s="23"/>
      <c r="D222" s="22"/>
      <c r="E222" s="23"/>
      <c r="F222" s="23"/>
      <c r="G222" s="23"/>
    </row>
    <row r="223" spans="1:7" ht="15.75" customHeight="1">
      <c r="A223" s="24"/>
      <c r="B223" s="23"/>
      <c r="C223" s="23"/>
      <c r="D223" s="22"/>
      <c r="E223" s="23"/>
      <c r="F223" s="23"/>
      <c r="G223" s="23"/>
    </row>
    <row r="224" spans="1:7" ht="15.75" customHeight="1">
      <c r="A224" s="24"/>
      <c r="B224" s="23"/>
      <c r="C224" s="23"/>
      <c r="D224" s="22"/>
      <c r="E224" s="23"/>
      <c r="F224" s="23"/>
      <c r="G224" s="23"/>
    </row>
    <row r="225" spans="1:7" ht="15.75" customHeight="1">
      <c r="A225" s="24"/>
      <c r="B225" s="23"/>
      <c r="C225" s="23"/>
      <c r="D225" s="22"/>
      <c r="E225" s="23"/>
      <c r="F225" s="23"/>
      <c r="G225" s="23"/>
    </row>
    <row r="226" spans="1:7" ht="15.75" customHeight="1">
      <c r="A226" s="24"/>
      <c r="B226" s="23"/>
      <c r="C226" s="23"/>
      <c r="D226" s="22"/>
      <c r="E226" s="23"/>
      <c r="F226" s="23"/>
      <c r="G226" s="23"/>
    </row>
    <row r="227" spans="1:7" ht="15.75" customHeight="1">
      <c r="A227" s="24"/>
      <c r="B227" s="23"/>
      <c r="C227" s="23"/>
      <c r="D227" s="22"/>
      <c r="E227" s="23"/>
      <c r="F227" s="23"/>
      <c r="G227" s="23"/>
    </row>
    <row r="228" spans="1:7" ht="15.75" customHeight="1">
      <c r="A228" s="24"/>
      <c r="B228" s="23"/>
      <c r="C228" s="23"/>
      <c r="D228" s="22"/>
      <c r="E228" s="23"/>
      <c r="F228" s="23"/>
      <c r="G228" s="23"/>
    </row>
    <row r="229" spans="1:7" ht="15.75" customHeight="1">
      <c r="A229" s="24"/>
      <c r="B229" s="23"/>
      <c r="C229" s="23"/>
      <c r="D229" s="22"/>
      <c r="E229" s="23"/>
      <c r="F229" s="23"/>
      <c r="G229" s="23"/>
    </row>
    <row r="230" spans="1:7" ht="15.75" customHeight="1">
      <c r="A230" s="24"/>
      <c r="B230" s="23"/>
      <c r="C230" s="23"/>
      <c r="D230" s="22"/>
      <c r="E230" s="23"/>
      <c r="F230" s="23"/>
      <c r="G230" s="23"/>
    </row>
    <row r="231" spans="1:7" ht="15.75" customHeight="1">
      <c r="A231" s="24"/>
      <c r="B231" s="23"/>
      <c r="C231" s="23"/>
      <c r="D231" s="22"/>
      <c r="E231" s="23"/>
      <c r="F231" s="23"/>
      <c r="G231" s="23"/>
    </row>
    <row r="232" spans="1:7" ht="15.75" customHeight="1">
      <c r="A232" s="24"/>
      <c r="B232" s="23"/>
      <c r="C232" s="23"/>
      <c r="D232" s="22"/>
      <c r="E232" s="23"/>
      <c r="F232" s="23"/>
      <c r="G232" s="23"/>
    </row>
    <row r="233" spans="1:7" ht="15.75" customHeight="1">
      <c r="A233" s="24"/>
      <c r="B233" s="23"/>
      <c r="C233" s="23"/>
      <c r="D233" s="22"/>
      <c r="E233" s="23"/>
      <c r="F233" s="23"/>
      <c r="G233" s="23"/>
    </row>
    <row r="234" spans="1:7" ht="15.75" customHeight="1">
      <c r="A234" s="24"/>
      <c r="B234" s="23"/>
      <c r="C234" s="23"/>
      <c r="D234" s="22"/>
      <c r="E234" s="23"/>
      <c r="F234" s="23"/>
      <c r="G234" s="23"/>
    </row>
    <row r="235" spans="1:7" ht="15.75" customHeight="1">
      <c r="A235" s="24"/>
      <c r="B235" s="23"/>
      <c r="C235" s="23"/>
      <c r="D235" s="22"/>
      <c r="E235" s="23"/>
      <c r="F235" s="23"/>
      <c r="G235" s="23"/>
    </row>
    <row r="236" spans="1:7" ht="15.75" customHeight="1">
      <c r="A236" s="24"/>
      <c r="B236" s="23"/>
      <c r="C236" s="23"/>
      <c r="D236" s="22"/>
      <c r="E236" s="23"/>
      <c r="F236" s="23"/>
      <c r="G236" s="23"/>
    </row>
    <row r="237" spans="1:7" ht="15.75" customHeight="1">
      <c r="A237" s="24"/>
      <c r="B237" s="23"/>
      <c r="C237" s="23"/>
      <c r="D237" s="22"/>
      <c r="E237" s="23"/>
      <c r="F237" s="23"/>
      <c r="G237" s="23"/>
    </row>
    <row r="238" spans="1:7" ht="15.75" customHeight="1">
      <c r="A238" s="24"/>
      <c r="B238" s="23"/>
      <c r="C238" s="23"/>
      <c r="D238" s="22"/>
      <c r="E238" s="23"/>
      <c r="F238" s="23"/>
      <c r="G238" s="23"/>
    </row>
    <row r="239" spans="1:7" ht="15.75" customHeight="1">
      <c r="A239" s="24"/>
      <c r="B239" s="23"/>
      <c r="C239" s="23"/>
      <c r="D239" s="22"/>
      <c r="E239" s="23"/>
      <c r="F239" s="23"/>
      <c r="G239" s="23"/>
    </row>
    <row r="240" spans="1:7" ht="15.75" customHeight="1">
      <c r="A240" s="24"/>
      <c r="B240" s="23"/>
      <c r="C240" s="23"/>
      <c r="D240" s="22"/>
      <c r="E240" s="23"/>
      <c r="F240" s="23"/>
      <c r="G240" s="23"/>
    </row>
    <row r="241" spans="1:7" ht="15.75" customHeight="1">
      <c r="A241" s="24"/>
      <c r="B241" s="23"/>
      <c r="C241" s="23"/>
      <c r="D241" s="22"/>
      <c r="E241" s="23"/>
      <c r="F241" s="23"/>
      <c r="G241" s="23"/>
    </row>
    <row r="242" spans="1:7" ht="15.75" customHeight="1">
      <c r="A242" s="24"/>
      <c r="B242" s="23"/>
      <c r="C242" s="23"/>
      <c r="D242" s="22"/>
      <c r="E242" s="23"/>
      <c r="F242" s="23"/>
      <c r="G242" s="23"/>
    </row>
    <row r="243" spans="1:7" ht="15.75" customHeight="1">
      <c r="A243" s="24"/>
      <c r="B243" s="23"/>
      <c r="C243" s="23"/>
      <c r="D243" s="22"/>
      <c r="E243" s="23"/>
      <c r="F243" s="23"/>
      <c r="G243" s="23"/>
    </row>
    <row r="244" spans="1:7" ht="15.75" customHeight="1">
      <c r="A244" s="24"/>
      <c r="B244" s="23"/>
      <c r="C244" s="23"/>
      <c r="D244" s="22"/>
      <c r="E244" s="23"/>
      <c r="F244" s="23"/>
      <c r="G244" s="23"/>
    </row>
    <row r="245" spans="1:7" ht="15.75" customHeight="1">
      <c r="A245" s="24"/>
      <c r="B245" s="23"/>
      <c r="C245" s="23"/>
      <c r="D245" s="22"/>
      <c r="E245" s="23"/>
      <c r="F245" s="23"/>
      <c r="G245" s="23"/>
    </row>
    <row r="246" spans="1:7" ht="15.75" customHeight="1">
      <c r="A246" s="24"/>
      <c r="B246" s="23"/>
      <c r="C246" s="23"/>
      <c r="D246" s="22"/>
      <c r="E246" s="23"/>
      <c r="F246" s="23"/>
      <c r="G246" s="23"/>
    </row>
    <row r="247" spans="1:7" ht="15.75" customHeight="1">
      <c r="A247" s="24"/>
      <c r="B247" s="23"/>
      <c r="C247" s="23"/>
      <c r="D247" s="22"/>
      <c r="E247" s="23"/>
      <c r="F247" s="23"/>
      <c r="G247" s="23"/>
    </row>
    <row r="248" spans="1:7" ht="15.75" customHeight="1">
      <c r="A248" s="24"/>
      <c r="B248" s="23"/>
      <c r="C248" s="23"/>
      <c r="D248" s="22"/>
      <c r="E248" s="23"/>
      <c r="F248" s="23"/>
      <c r="G248" s="23"/>
    </row>
    <row r="249" spans="1:7" ht="15.75" customHeight="1">
      <c r="A249" s="24"/>
      <c r="B249" s="23"/>
      <c r="C249" s="23"/>
      <c r="D249" s="22"/>
      <c r="E249" s="23"/>
      <c r="F249" s="23"/>
      <c r="G249" s="23"/>
    </row>
    <row r="250" spans="1:7" ht="15.75" customHeight="1">
      <c r="A250" s="24"/>
      <c r="B250" s="23"/>
      <c r="C250" s="23"/>
      <c r="D250" s="22"/>
      <c r="E250" s="23"/>
      <c r="F250" s="23"/>
      <c r="G250" s="23"/>
    </row>
    <row r="251" spans="1:7" ht="15.75" customHeight="1">
      <c r="A251" s="24"/>
      <c r="B251" s="23"/>
      <c r="C251" s="23"/>
      <c r="D251" s="22"/>
      <c r="E251" s="23"/>
      <c r="F251" s="23"/>
      <c r="G251" s="23"/>
    </row>
    <row r="252" spans="1:7" ht="15.75" customHeight="1">
      <c r="A252" s="24"/>
      <c r="B252" s="23"/>
      <c r="C252" s="23"/>
      <c r="D252" s="22"/>
      <c r="E252" s="23"/>
      <c r="F252" s="23"/>
      <c r="G252" s="23"/>
    </row>
    <row r="253" spans="1:7" ht="15.75" customHeight="1">
      <c r="A253" s="24"/>
      <c r="B253" s="23"/>
      <c r="C253" s="23"/>
      <c r="D253" s="22"/>
      <c r="E253" s="23"/>
      <c r="F253" s="23"/>
      <c r="G253" s="23"/>
    </row>
    <row r="254" spans="1:7" ht="15.75" customHeight="1">
      <c r="A254" s="24"/>
      <c r="B254" s="23"/>
      <c r="C254" s="23"/>
      <c r="D254" s="22"/>
      <c r="E254" s="23"/>
      <c r="F254" s="23"/>
      <c r="G254" s="23"/>
    </row>
    <row r="255" spans="1:7" ht="15.75" customHeight="1">
      <c r="A255" s="24"/>
      <c r="B255" s="23"/>
      <c r="C255" s="23"/>
      <c r="D255" s="22"/>
      <c r="E255" s="23"/>
      <c r="F255" s="23"/>
      <c r="G255" s="23"/>
    </row>
    <row r="256" spans="1:7" ht="15.75" customHeight="1">
      <c r="A256" s="24"/>
      <c r="B256" s="23"/>
      <c r="C256" s="23"/>
      <c r="D256" s="22"/>
      <c r="E256" s="23"/>
      <c r="F256" s="23"/>
      <c r="G256" s="23"/>
    </row>
    <row r="257" spans="1:7" ht="15.75" customHeight="1">
      <c r="A257" s="24"/>
      <c r="B257" s="23"/>
      <c r="C257" s="23"/>
      <c r="D257" s="22"/>
      <c r="E257" s="23"/>
      <c r="F257" s="23"/>
      <c r="G257" s="23"/>
    </row>
    <row r="258" spans="1:7" ht="15.75" customHeight="1">
      <c r="A258" s="24"/>
      <c r="B258" s="23"/>
      <c r="C258" s="23"/>
      <c r="D258" s="22"/>
      <c r="E258" s="23"/>
      <c r="F258" s="23"/>
      <c r="G258" s="23"/>
    </row>
    <row r="259" spans="1:7" ht="15.75" customHeight="1">
      <c r="A259" s="24"/>
      <c r="B259" s="23"/>
      <c r="C259" s="23"/>
      <c r="D259" s="22"/>
      <c r="E259" s="23"/>
      <c r="F259" s="23"/>
      <c r="G259" s="23"/>
    </row>
    <row r="260" spans="1:7" ht="15.75" customHeight="1">
      <c r="A260" s="24"/>
      <c r="B260" s="23"/>
      <c r="C260" s="23"/>
      <c r="D260" s="22"/>
      <c r="E260" s="23"/>
      <c r="F260" s="23"/>
      <c r="G260" s="23"/>
    </row>
    <row r="261" spans="1:7" ht="15.75" customHeight="1">
      <c r="A261" s="24"/>
      <c r="B261" s="23"/>
      <c r="C261" s="23"/>
      <c r="D261" s="22"/>
      <c r="E261" s="23"/>
      <c r="F261" s="23"/>
      <c r="G261" s="23"/>
    </row>
    <row r="262" spans="1:7" ht="15.75" customHeight="1">
      <c r="A262" s="24"/>
      <c r="B262" s="23"/>
      <c r="C262" s="23"/>
      <c r="D262" s="22"/>
      <c r="E262" s="23"/>
      <c r="F262" s="23"/>
      <c r="G262" s="23"/>
    </row>
    <row r="263" spans="1:7" ht="15.75" customHeight="1">
      <c r="A263" s="24"/>
      <c r="B263" s="23"/>
      <c r="C263" s="23"/>
      <c r="D263" s="22"/>
      <c r="E263" s="23"/>
      <c r="F263" s="23"/>
      <c r="G263" s="23"/>
    </row>
    <row r="264" spans="1:7" ht="15.75" customHeight="1">
      <c r="A264" s="24"/>
      <c r="B264" s="23"/>
      <c r="C264" s="23"/>
      <c r="D264" s="22"/>
      <c r="E264" s="23"/>
      <c r="F264" s="23"/>
      <c r="G264" s="23"/>
    </row>
    <row r="265" spans="1:7" ht="15.75" customHeight="1">
      <c r="A265" s="24"/>
      <c r="B265" s="23"/>
      <c r="C265" s="23"/>
      <c r="D265" s="22"/>
      <c r="E265" s="23"/>
      <c r="F265" s="23"/>
      <c r="G265" s="23"/>
    </row>
    <row r="266" spans="1:7" ht="15.75" customHeight="1">
      <c r="A266" s="24"/>
      <c r="B266" s="23"/>
      <c r="C266" s="23"/>
      <c r="D266" s="22"/>
      <c r="E266" s="23"/>
      <c r="F266" s="23"/>
      <c r="G266" s="23"/>
    </row>
    <row r="267" spans="1:7" ht="15.75" customHeight="1">
      <c r="A267" s="24"/>
      <c r="B267" s="23"/>
      <c r="C267" s="23"/>
      <c r="D267" s="22"/>
      <c r="E267" s="23"/>
      <c r="F267" s="23"/>
      <c r="G267" s="23"/>
    </row>
    <row r="268" spans="1:7" ht="15.75" customHeight="1">
      <c r="A268" s="24"/>
      <c r="B268" s="23"/>
      <c r="C268" s="23"/>
      <c r="D268" s="22"/>
      <c r="E268" s="23"/>
      <c r="F268" s="23"/>
      <c r="G268" s="23"/>
    </row>
    <row r="269" spans="1:7" ht="15.75" customHeight="1">
      <c r="A269" s="24"/>
      <c r="B269" s="23"/>
      <c r="C269" s="23"/>
      <c r="D269" s="22"/>
      <c r="E269" s="23"/>
      <c r="F269" s="23"/>
      <c r="G269" s="23"/>
    </row>
    <row r="270" spans="1:7" ht="15.75" customHeight="1">
      <c r="A270" s="24"/>
      <c r="B270" s="23"/>
      <c r="C270" s="23"/>
      <c r="D270" s="22"/>
      <c r="E270" s="23"/>
      <c r="F270" s="23"/>
      <c r="G270" s="23"/>
    </row>
    <row r="271" spans="1:7" ht="15.75" customHeight="1">
      <c r="A271" s="24"/>
      <c r="B271" s="23"/>
      <c r="C271" s="23"/>
      <c r="D271" s="22"/>
      <c r="E271" s="23"/>
      <c r="F271" s="23"/>
      <c r="G271" s="23"/>
    </row>
    <row r="272" spans="1:7" ht="15.75" customHeight="1">
      <c r="A272" s="24"/>
      <c r="B272" s="23"/>
      <c r="C272" s="23"/>
      <c r="D272" s="22"/>
      <c r="E272" s="23"/>
      <c r="F272" s="23"/>
      <c r="G272" s="23"/>
    </row>
    <row r="273" spans="1:7" ht="15.75" customHeight="1">
      <c r="A273" s="24"/>
      <c r="B273" s="23"/>
      <c r="C273" s="23"/>
      <c r="D273" s="22"/>
      <c r="E273" s="23"/>
      <c r="F273" s="23"/>
      <c r="G273" s="23"/>
    </row>
    <row r="274" spans="1:7" ht="15.75" customHeight="1">
      <c r="A274" s="24"/>
      <c r="B274" s="23"/>
      <c r="C274" s="23"/>
      <c r="D274" s="22"/>
      <c r="E274" s="23"/>
      <c r="F274" s="23"/>
      <c r="G274" s="23"/>
    </row>
    <row r="275" spans="1:7" ht="15.75" customHeight="1">
      <c r="A275" s="24"/>
      <c r="B275" s="23"/>
      <c r="C275" s="23"/>
      <c r="D275" s="22"/>
      <c r="E275" s="23"/>
      <c r="F275" s="23"/>
      <c r="G275" s="23"/>
    </row>
    <row r="276" spans="1:7" ht="15.75" customHeight="1">
      <c r="A276" s="24"/>
      <c r="B276" s="23"/>
      <c r="C276" s="23"/>
      <c r="D276" s="22"/>
      <c r="E276" s="23"/>
      <c r="F276" s="23"/>
      <c r="G276" s="23"/>
    </row>
    <row r="277" spans="1:7" ht="15.75" customHeight="1">
      <c r="A277" s="24"/>
      <c r="B277" s="23"/>
      <c r="C277" s="23"/>
      <c r="D277" s="22"/>
      <c r="E277" s="23"/>
      <c r="F277" s="23"/>
      <c r="G277" s="23"/>
    </row>
    <row r="278" spans="1:7" ht="15.75" customHeight="1">
      <c r="A278" s="24"/>
      <c r="B278" s="23"/>
      <c r="C278" s="23"/>
      <c r="D278" s="22"/>
      <c r="E278" s="23"/>
      <c r="F278" s="23"/>
      <c r="G278" s="23"/>
    </row>
    <row r="279" spans="1:7" ht="15.75" customHeight="1">
      <c r="A279" s="24"/>
      <c r="B279" s="23"/>
      <c r="C279" s="23"/>
      <c r="D279" s="22"/>
      <c r="E279" s="23"/>
      <c r="F279" s="23"/>
      <c r="G279" s="23"/>
    </row>
    <row r="280" spans="1:7" ht="15.75" customHeight="1">
      <c r="A280" s="24"/>
      <c r="B280" s="23"/>
      <c r="C280" s="23"/>
      <c r="D280" s="22"/>
      <c r="E280" s="23"/>
      <c r="F280" s="23"/>
      <c r="G280" s="23"/>
    </row>
    <row r="281" spans="1:7" ht="15.75" customHeight="1">
      <c r="A281" s="24"/>
      <c r="B281" s="23"/>
      <c r="C281" s="23"/>
      <c r="D281" s="22"/>
      <c r="E281" s="23"/>
      <c r="F281" s="23"/>
      <c r="G281" s="23"/>
    </row>
    <row r="282" spans="1:7" ht="15.75" customHeight="1">
      <c r="A282" s="24"/>
      <c r="B282" s="23"/>
      <c r="C282" s="23"/>
      <c r="D282" s="22"/>
      <c r="E282" s="23"/>
      <c r="F282" s="23"/>
      <c r="G282" s="23"/>
    </row>
    <row r="283" spans="1:7" ht="15.75" customHeight="1">
      <c r="A283" s="24"/>
      <c r="B283" s="23"/>
      <c r="C283" s="23"/>
      <c r="D283" s="22"/>
      <c r="E283" s="23"/>
      <c r="F283" s="23"/>
      <c r="G283" s="23"/>
    </row>
    <row r="284" spans="1:7" ht="15.75" customHeight="1">
      <c r="A284" s="24"/>
      <c r="B284" s="23"/>
      <c r="C284" s="23"/>
      <c r="D284" s="22"/>
      <c r="E284" s="23"/>
      <c r="F284" s="23"/>
      <c r="G284" s="23"/>
    </row>
    <row r="285" spans="1:7" ht="15.75" customHeight="1">
      <c r="A285" s="24"/>
      <c r="B285" s="23"/>
      <c r="C285" s="23"/>
      <c r="D285" s="22"/>
      <c r="E285" s="23"/>
      <c r="F285" s="23"/>
      <c r="G285" s="23"/>
    </row>
    <row r="286" spans="1:7" ht="15.75" customHeight="1">
      <c r="A286" s="24"/>
      <c r="B286" s="23"/>
      <c r="C286" s="23"/>
      <c r="D286" s="22"/>
      <c r="E286" s="23"/>
      <c r="F286" s="23"/>
      <c r="G286" s="23"/>
    </row>
    <row r="287" spans="1:7" ht="15.75" customHeight="1">
      <c r="A287" s="24"/>
      <c r="B287" s="23"/>
      <c r="C287" s="23"/>
      <c r="D287" s="22"/>
      <c r="E287" s="23"/>
      <c r="F287" s="23"/>
      <c r="G287" s="23"/>
    </row>
    <row r="288" spans="1:7" ht="15.75" customHeight="1">
      <c r="A288" s="24"/>
      <c r="B288" s="23"/>
      <c r="C288" s="23"/>
      <c r="D288" s="22"/>
      <c r="E288" s="23"/>
      <c r="F288" s="23"/>
      <c r="G288" s="23"/>
    </row>
    <row r="289" spans="1:7" ht="15.75" customHeight="1">
      <c r="A289" s="24"/>
      <c r="B289" s="23"/>
      <c r="C289" s="23"/>
      <c r="D289" s="22"/>
      <c r="E289" s="23"/>
      <c r="F289" s="23"/>
      <c r="G289" s="23"/>
    </row>
    <row r="290" spans="1:7" ht="15.75" customHeight="1">
      <c r="A290" s="24"/>
      <c r="B290" s="23"/>
      <c r="C290" s="23"/>
      <c r="D290" s="22"/>
      <c r="E290" s="23"/>
      <c r="F290" s="23"/>
      <c r="G290" s="23"/>
    </row>
    <row r="291" spans="1:7" ht="15.75" customHeight="1">
      <c r="A291" s="24"/>
      <c r="B291" s="23"/>
      <c r="C291" s="23"/>
      <c r="D291" s="22"/>
      <c r="E291" s="23"/>
      <c r="F291" s="23"/>
      <c r="G291" s="23"/>
    </row>
    <row r="292" spans="1:7" ht="15.75" customHeight="1">
      <c r="A292" s="24"/>
      <c r="B292" s="23"/>
      <c r="C292" s="23"/>
      <c r="D292" s="22"/>
      <c r="E292" s="23"/>
      <c r="F292" s="23"/>
      <c r="G292" s="23"/>
    </row>
    <row r="293" spans="1:7" ht="15.75" customHeight="1">
      <c r="A293" s="24"/>
      <c r="B293" s="23"/>
      <c r="C293" s="23"/>
      <c r="D293" s="22"/>
      <c r="E293" s="23"/>
      <c r="F293" s="23"/>
      <c r="G293" s="23"/>
    </row>
    <row r="294" spans="1:7" ht="15.75" customHeight="1">
      <c r="A294" s="24"/>
      <c r="B294" s="23"/>
      <c r="C294" s="23"/>
      <c r="D294" s="22"/>
      <c r="E294" s="23"/>
      <c r="F294" s="23"/>
      <c r="G294" s="23"/>
    </row>
    <row r="295" spans="1:7" ht="15.75" customHeight="1">
      <c r="A295" s="24"/>
      <c r="B295" s="23"/>
      <c r="C295" s="23"/>
      <c r="D295" s="22"/>
      <c r="E295" s="23"/>
      <c r="F295" s="23"/>
      <c r="G295" s="23"/>
    </row>
    <row r="296" spans="1:7" ht="15.75" customHeight="1">
      <c r="A296" s="24"/>
      <c r="B296" s="23"/>
      <c r="C296" s="23"/>
      <c r="D296" s="22"/>
      <c r="E296" s="23"/>
      <c r="F296" s="23"/>
      <c r="G296" s="23"/>
    </row>
    <row r="297" spans="1:7" ht="15.75" customHeight="1">
      <c r="A297" s="24"/>
      <c r="B297" s="23"/>
      <c r="C297" s="23"/>
      <c r="D297" s="22"/>
      <c r="E297" s="23"/>
      <c r="F297" s="23"/>
      <c r="G297" s="23"/>
    </row>
    <row r="298" spans="1:7" ht="15.75" customHeight="1">
      <c r="A298" s="24"/>
      <c r="B298" s="23"/>
      <c r="C298" s="23"/>
      <c r="D298" s="22"/>
      <c r="E298" s="23"/>
      <c r="F298" s="23"/>
      <c r="G298" s="23"/>
    </row>
    <row r="299" spans="1:7" ht="15.75" customHeight="1">
      <c r="A299" s="24"/>
      <c r="B299" s="23"/>
      <c r="C299" s="23"/>
      <c r="D299" s="22"/>
      <c r="E299" s="23"/>
      <c r="F299" s="23"/>
      <c r="G299" s="23"/>
    </row>
    <row r="300" spans="1:7" ht="15.75" customHeight="1">
      <c r="A300" s="24"/>
      <c r="B300" s="23"/>
      <c r="C300" s="23"/>
      <c r="D300" s="22"/>
      <c r="E300" s="23"/>
      <c r="F300" s="23"/>
      <c r="G300" s="23"/>
    </row>
    <row r="301" spans="1:7" ht="15.75" customHeight="1">
      <c r="A301" s="24"/>
      <c r="B301" s="23"/>
      <c r="C301" s="23"/>
      <c r="D301" s="22"/>
      <c r="E301" s="23"/>
      <c r="F301" s="23"/>
      <c r="G301" s="23"/>
    </row>
    <row r="302" spans="1:7" ht="15.75" customHeight="1">
      <c r="A302" s="24"/>
      <c r="B302" s="23"/>
      <c r="C302" s="23"/>
      <c r="D302" s="22"/>
      <c r="E302" s="23"/>
      <c r="F302" s="23"/>
      <c r="G302" s="23"/>
    </row>
    <row r="303" spans="1:7" ht="15.75" customHeight="1">
      <c r="A303" s="24"/>
      <c r="B303" s="23"/>
      <c r="C303" s="23"/>
      <c r="D303" s="22"/>
      <c r="E303" s="23"/>
      <c r="F303" s="23"/>
      <c r="G303" s="23"/>
    </row>
    <row r="304" spans="1:7" ht="15.75" customHeight="1">
      <c r="A304" s="24"/>
      <c r="B304" s="23"/>
      <c r="C304" s="23"/>
      <c r="D304" s="22"/>
      <c r="E304" s="23"/>
      <c r="F304" s="23"/>
      <c r="G304" s="23"/>
    </row>
    <row r="305" spans="1:7" ht="15.75" customHeight="1">
      <c r="A305" s="24"/>
      <c r="B305" s="23"/>
      <c r="C305" s="23"/>
      <c r="D305" s="22"/>
      <c r="E305" s="23"/>
      <c r="F305" s="23"/>
      <c r="G305" s="23"/>
    </row>
    <row r="306" spans="1:7" ht="15.75" customHeight="1">
      <c r="A306" s="24"/>
      <c r="B306" s="23"/>
      <c r="C306" s="23"/>
      <c r="D306" s="22"/>
      <c r="E306" s="23"/>
      <c r="F306" s="23"/>
      <c r="G306" s="23"/>
    </row>
    <row r="307" spans="1:7" ht="15.75" customHeight="1">
      <c r="A307" s="24"/>
      <c r="B307" s="23"/>
      <c r="C307" s="23"/>
      <c r="D307" s="22"/>
      <c r="E307" s="23"/>
      <c r="F307" s="23"/>
      <c r="G307" s="23"/>
    </row>
    <row r="308" spans="1:7" ht="15.75" customHeight="1">
      <c r="A308" s="24"/>
      <c r="B308" s="23"/>
      <c r="C308" s="23"/>
      <c r="D308" s="22"/>
      <c r="E308" s="23"/>
      <c r="F308" s="23"/>
      <c r="G308" s="23"/>
    </row>
    <row r="309" spans="1:7" ht="15.75" customHeight="1">
      <c r="A309" s="24"/>
      <c r="B309" s="23"/>
      <c r="C309" s="23"/>
      <c r="D309" s="22"/>
      <c r="E309" s="23"/>
      <c r="F309" s="23"/>
      <c r="G309" s="23"/>
    </row>
    <row r="310" spans="1:7" ht="15.75" customHeight="1">
      <c r="A310" s="24"/>
      <c r="B310" s="23"/>
      <c r="C310" s="23"/>
      <c r="D310" s="22"/>
      <c r="E310" s="23"/>
      <c r="F310" s="23"/>
      <c r="G310" s="23"/>
    </row>
    <row r="311" spans="1:7" ht="15.75" customHeight="1">
      <c r="A311" s="24"/>
      <c r="B311" s="23"/>
      <c r="C311" s="23"/>
      <c r="D311" s="22"/>
      <c r="E311" s="23"/>
      <c r="F311" s="23"/>
      <c r="G311" s="23"/>
    </row>
    <row r="312" spans="1:7" ht="15.75" customHeight="1">
      <c r="A312" s="24"/>
      <c r="B312" s="23"/>
      <c r="C312" s="23"/>
      <c r="D312" s="22"/>
      <c r="E312" s="23"/>
      <c r="F312" s="23"/>
      <c r="G312" s="23"/>
    </row>
    <row r="313" spans="1:7" ht="15.75" customHeight="1">
      <c r="A313" s="24"/>
      <c r="B313" s="23"/>
      <c r="C313" s="23"/>
      <c r="D313" s="22"/>
      <c r="E313" s="23"/>
      <c r="F313" s="23"/>
      <c r="G313" s="23"/>
    </row>
    <row r="314" spans="1:7" ht="15.75" customHeight="1">
      <c r="A314" s="24"/>
      <c r="B314" s="23"/>
      <c r="C314" s="23"/>
      <c r="D314" s="22"/>
      <c r="E314" s="23"/>
      <c r="F314" s="23"/>
      <c r="G314" s="23"/>
    </row>
    <row r="315" spans="1:7" ht="15.75" customHeight="1">
      <c r="A315" s="24"/>
      <c r="B315" s="23"/>
      <c r="C315" s="23"/>
      <c r="D315" s="22"/>
      <c r="E315" s="23"/>
      <c r="F315" s="23"/>
      <c r="G315" s="23"/>
    </row>
    <row r="316" spans="1:7" ht="15.75" customHeight="1">
      <c r="A316" s="24"/>
      <c r="B316" s="23"/>
      <c r="C316" s="23"/>
      <c r="D316" s="22"/>
      <c r="E316" s="23"/>
      <c r="F316" s="23"/>
      <c r="G316" s="23"/>
    </row>
    <row r="317" spans="1:7" ht="15.75" customHeight="1">
      <c r="A317" s="24"/>
      <c r="B317" s="23"/>
      <c r="C317" s="23"/>
      <c r="D317" s="22"/>
      <c r="E317" s="23"/>
      <c r="F317" s="23"/>
      <c r="G317" s="23"/>
    </row>
    <row r="318" spans="1:7" ht="15.75" customHeight="1">
      <c r="A318" s="24"/>
      <c r="B318" s="23"/>
      <c r="C318" s="23"/>
      <c r="D318" s="22"/>
      <c r="E318" s="23"/>
      <c r="F318" s="23"/>
      <c r="G318" s="23"/>
    </row>
    <row r="319" spans="1:7" ht="15.75" customHeight="1">
      <c r="A319" s="24"/>
      <c r="B319" s="23"/>
      <c r="C319" s="23"/>
      <c r="D319" s="22"/>
      <c r="E319" s="23"/>
      <c r="F319" s="23"/>
      <c r="G319" s="23"/>
    </row>
    <row r="320" spans="1:7" ht="15.75" customHeight="1">
      <c r="A320" s="24"/>
      <c r="B320" s="23"/>
      <c r="C320" s="23"/>
      <c r="D320" s="22"/>
      <c r="E320" s="23"/>
      <c r="F320" s="23"/>
      <c r="G320" s="23"/>
    </row>
    <row r="321" spans="1:7" ht="15.75" customHeight="1">
      <c r="A321" s="24"/>
      <c r="B321" s="23"/>
      <c r="C321" s="23"/>
      <c r="D321" s="22"/>
      <c r="E321" s="23"/>
      <c r="F321" s="23"/>
      <c r="G321" s="23"/>
    </row>
    <row r="322" spans="1:7" ht="15.75" customHeight="1">
      <c r="A322" s="24"/>
      <c r="B322" s="23"/>
      <c r="C322" s="23"/>
      <c r="D322" s="22"/>
      <c r="E322" s="23"/>
      <c r="F322" s="23"/>
      <c r="G322" s="23"/>
    </row>
    <row r="323" spans="1:7" ht="15.75" customHeight="1">
      <c r="A323" s="24"/>
      <c r="B323" s="23"/>
      <c r="C323" s="23"/>
      <c r="D323" s="22"/>
      <c r="E323" s="23"/>
      <c r="F323" s="23"/>
      <c r="G323" s="23"/>
    </row>
    <row r="324" spans="1:7" ht="15.75" customHeight="1">
      <c r="A324" s="24"/>
      <c r="B324" s="23"/>
      <c r="C324" s="23"/>
      <c r="D324" s="22"/>
      <c r="E324" s="23"/>
      <c r="F324" s="23"/>
      <c r="G324" s="23"/>
    </row>
    <row r="325" spans="1:7" ht="15.75" customHeight="1">
      <c r="A325" s="24"/>
      <c r="B325" s="23"/>
      <c r="C325" s="23"/>
      <c r="D325" s="22"/>
      <c r="E325" s="23"/>
      <c r="F325" s="23"/>
      <c r="G325" s="23"/>
    </row>
    <row r="326" spans="1:7" ht="15.75" customHeight="1">
      <c r="A326" s="24"/>
      <c r="B326" s="23"/>
      <c r="C326" s="23"/>
      <c r="D326" s="22"/>
      <c r="E326" s="23"/>
      <c r="F326" s="23"/>
      <c r="G326" s="23"/>
    </row>
    <row r="327" spans="1:7" ht="15.75" customHeight="1">
      <c r="A327" s="24"/>
      <c r="B327" s="23"/>
      <c r="C327" s="23"/>
      <c r="D327" s="22"/>
      <c r="E327" s="23"/>
      <c r="F327" s="23"/>
      <c r="G327" s="23"/>
    </row>
    <row r="328" spans="1:7" ht="15.75" customHeight="1">
      <c r="A328" s="24"/>
      <c r="B328" s="23"/>
      <c r="C328" s="23"/>
      <c r="D328" s="22"/>
      <c r="E328" s="23"/>
      <c r="F328" s="23"/>
      <c r="G328" s="23"/>
    </row>
    <row r="329" spans="1:7" ht="15.75" customHeight="1">
      <c r="A329" s="24"/>
      <c r="B329" s="23"/>
      <c r="C329" s="23"/>
      <c r="D329" s="22"/>
      <c r="E329" s="23"/>
      <c r="F329" s="23"/>
      <c r="G329" s="23"/>
    </row>
    <row r="330" spans="1:7" ht="15.75" customHeight="1">
      <c r="A330" s="24"/>
      <c r="B330" s="23"/>
      <c r="C330" s="23"/>
      <c r="D330" s="22"/>
      <c r="E330" s="23"/>
      <c r="F330" s="23"/>
      <c r="G330" s="23"/>
    </row>
    <row r="331" spans="1:7" ht="15.75" customHeight="1">
      <c r="A331" s="24"/>
      <c r="B331" s="23"/>
      <c r="C331" s="23"/>
      <c r="D331" s="22"/>
      <c r="E331" s="23"/>
      <c r="F331" s="23"/>
      <c r="G331" s="23"/>
    </row>
    <row r="332" spans="1:7" ht="15.75" customHeight="1">
      <c r="A332" s="24"/>
      <c r="B332" s="23"/>
      <c r="C332" s="23"/>
      <c r="D332" s="22"/>
      <c r="E332" s="23"/>
      <c r="F332" s="23"/>
      <c r="G332" s="23"/>
    </row>
    <row r="333" spans="1:7" ht="15.75" customHeight="1">
      <c r="A333" s="24"/>
      <c r="B333" s="23"/>
      <c r="C333" s="23"/>
      <c r="D333" s="22"/>
      <c r="E333" s="23"/>
      <c r="F333" s="23"/>
      <c r="G333" s="23"/>
    </row>
    <row r="334" spans="1:7" ht="15.75" customHeight="1">
      <c r="A334" s="24"/>
      <c r="B334" s="23"/>
      <c r="C334" s="23"/>
      <c r="D334" s="22"/>
      <c r="E334" s="23"/>
      <c r="F334" s="23"/>
      <c r="G334" s="23"/>
    </row>
    <row r="335" spans="1:7" ht="15.75" customHeight="1">
      <c r="A335" s="24"/>
      <c r="B335" s="23"/>
      <c r="C335" s="23"/>
      <c r="D335" s="22"/>
      <c r="E335" s="23"/>
      <c r="F335" s="23"/>
      <c r="G335" s="23"/>
    </row>
    <row r="336" spans="1:7" ht="15.75" customHeight="1">
      <c r="A336" s="24"/>
      <c r="B336" s="23"/>
      <c r="C336" s="23"/>
      <c r="D336" s="22"/>
      <c r="E336" s="23"/>
      <c r="F336" s="23"/>
      <c r="G336" s="23"/>
    </row>
    <row r="337" spans="1:7" ht="15.75" customHeight="1">
      <c r="A337" s="24"/>
      <c r="B337" s="23"/>
      <c r="C337" s="23"/>
      <c r="D337" s="22"/>
      <c r="E337" s="23"/>
      <c r="F337" s="23"/>
      <c r="G337" s="23"/>
    </row>
    <row r="338" spans="1:7" ht="15.75" customHeight="1">
      <c r="A338" s="24"/>
      <c r="B338" s="23"/>
      <c r="C338" s="23"/>
      <c r="D338" s="22"/>
      <c r="E338" s="23"/>
      <c r="F338" s="23"/>
      <c r="G338" s="23"/>
    </row>
    <row r="339" spans="1:7" ht="15.75" customHeight="1">
      <c r="A339" s="24"/>
      <c r="B339" s="23"/>
      <c r="C339" s="23"/>
      <c r="D339" s="22"/>
      <c r="E339" s="23"/>
      <c r="F339" s="23"/>
      <c r="G339" s="23"/>
    </row>
    <row r="340" spans="1:7" ht="15.75" customHeight="1">
      <c r="A340" s="24"/>
      <c r="B340" s="23"/>
      <c r="C340" s="23"/>
      <c r="D340" s="22"/>
      <c r="E340" s="23"/>
      <c r="F340" s="23"/>
      <c r="G340" s="23"/>
    </row>
    <row r="341" spans="1:7" ht="15.75" customHeight="1">
      <c r="A341" s="24"/>
      <c r="B341" s="23"/>
      <c r="C341" s="23"/>
      <c r="D341" s="22"/>
      <c r="E341" s="23"/>
      <c r="F341" s="23"/>
      <c r="G341" s="23"/>
    </row>
    <row r="342" spans="1:7" ht="15.75" customHeight="1">
      <c r="A342" s="24"/>
      <c r="B342" s="23"/>
      <c r="C342" s="23"/>
      <c r="D342" s="22"/>
      <c r="E342" s="23"/>
      <c r="F342" s="23"/>
      <c r="G342" s="23"/>
    </row>
    <row r="343" spans="1:7" ht="15.75" customHeight="1">
      <c r="A343" s="24"/>
      <c r="B343" s="23"/>
      <c r="C343" s="23"/>
      <c r="D343" s="22"/>
      <c r="E343" s="23"/>
      <c r="F343" s="23"/>
      <c r="G343" s="23"/>
    </row>
    <row r="344" spans="1:7" ht="15.75" customHeight="1">
      <c r="A344" s="24"/>
      <c r="B344" s="23"/>
      <c r="C344" s="23"/>
      <c r="D344" s="22"/>
      <c r="E344" s="23"/>
      <c r="F344" s="23"/>
      <c r="G344" s="23"/>
    </row>
    <row r="345" spans="1:7" ht="15.75" customHeight="1">
      <c r="A345" s="24"/>
      <c r="B345" s="23"/>
      <c r="C345" s="23"/>
      <c r="D345" s="22"/>
      <c r="E345" s="23"/>
      <c r="F345" s="23"/>
      <c r="G345" s="23"/>
    </row>
    <row r="346" spans="1:7" ht="15.75" customHeight="1">
      <c r="A346" s="24"/>
      <c r="B346" s="23"/>
      <c r="C346" s="23"/>
      <c r="D346" s="22"/>
      <c r="E346" s="23"/>
      <c r="F346" s="23"/>
      <c r="G346" s="23"/>
    </row>
    <row r="347" spans="1:7" ht="15.75" customHeight="1">
      <c r="A347" s="24"/>
      <c r="B347" s="23"/>
      <c r="C347" s="23"/>
      <c r="D347" s="22"/>
      <c r="E347" s="23"/>
      <c r="F347" s="23"/>
      <c r="G347" s="23"/>
    </row>
    <row r="348" spans="1:7" ht="15.75" customHeight="1">
      <c r="A348" s="24"/>
      <c r="B348" s="23"/>
      <c r="C348" s="23"/>
      <c r="D348" s="22"/>
      <c r="E348" s="23"/>
      <c r="F348" s="23"/>
      <c r="G348" s="23"/>
    </row>
    <row r="349" spans="1:7" ht="15.75" customHeight="1">
      <c r="A349" s="24"/>
      <c r="B349" s="23"/>
      <c r="C349" s="23"/>
      <c r="D349" s="22"/>
      <c r="E349" s="23"/>
      <c r="F349" s="23"/>
      <c r="G349" s="23"/>
    </row>
    <row r="350" spans="1:7" ht="15.75" customHeight="1">
      <c r="A350" s="24"/>
      <c r="B350" s="23"/>
      <c r="C350" s="23"/>
      <c r="D350" s="22"/>
      <c r="E350" s="23"/>
      <c r="F350" s="23"/>
      <c r="G350" s="23"/>
    </row>
    <row r="351" spans="1:7" ht="15.75" customHeight="1">
      <c r="A351" s="24"/>
      <c r="B351" s="23"/>
      <c r="C351" s="23"/>
      <c r="D351" s="22"/>
      <c r="E351" s="23"/>
      <c r="F351" s="23"/>
      <c r="G351" s="23"/>
    </row>
    <row r="352" spans="1:7" ht="15.75" customHeight="1">
      <c r="A352" s="24"/>
      <c r="B352" s="23"/>
      <c r="C352" s="23"/>
      <c r="D352" s="22"/>
      <c r="E352" s="23"/>
      <c r="F352" s="23"/>
      <c r="G352" s="23"/>
    </row>
    <row r="353" spans="1:7" ht="15.75" customHeight="1">
      <c r="A353" s="24"/>
      <c r="B353" s="23"/>
      <c r="C353" s="23"/>
      <c r="D353" s="22"/>
      <c r="E353" s="23"/>
      <c r="F353" s="23"/>
      <c r="G353" s="23"/>
    </row>
    <row r="354" spans="1:7" ht="15.75" customHeight="1">
      <c r="A354" s="24"/>
      <c r="B354" s="23"/>
      <c r="C354" s="23"/>
      <c r="D354" s="22"/>
      <c r="E354" s="23"/>
      <c r="F354" s="23"/>
      <c r="G354" s="23"/>
    </row>
    <row r="355" spans="1:7" ht="15.75" customHeight="1">
      <c r="A355" s="24"/>
      <c r="B355" s="23"/>
      <c r="C355" s="23"/>
      <c r="D355" s="22"/>
      <c r="E355" s="23"/>
      <c r="F355" s="23"/>
      <c r="G355" s="23"/>
    </row>
    <row r="356" spans="1:7" ht="15.75" customHeight="1">
      <c r="A356" s="24"/>
      <c r="B356" s="23"/>
      <c r="C356" s="23"/>
      <c r="D356" s="22"/>
      <c r="E356" s="23"/>
      <c r="F356" s="23"/>
      <c r="G356" s="23"/>
    </row>
    <row r="357" spans="1:7" ht="15.75" customHeight="1">
      <c r="A357" s="24"/>
      <c r="B357" s="23"/>
      <c r="C357" s="23"/>
      <c r="D357" s="22"/>
      <c r="E357" s="23"/>
      <c r="F357" s="23"/>
      <c r="G357" s="23"/>
    </row>
    <row r="358" spans="1:7" ht="15.75" customHeight="1">
      <c r="A358" s="24"/>
      <c r="B358" s="23"/>
      <c r="C358" s="23"/>
      <c r="D358" s="22"/>
      <c r="E358" s="23"/>
      <c r="F358" s="23"/>
      <c r="G358" s="23"/>
    </row>
    <row r="359" spans="1:7" ht="15.75" customHeight="1">
      <c r="A359" s="24"/>
      <c r="B359" s="23"/>
      <c r="C359" s="23"/>
      <c r="D359" s="22"/>
      <c r="E359" s="23"/>
      <c r="F359" s="23"/>
      <c r="G359" s="23"/>
    </row>
    <row r="360" spans="1:7" ht="15.75" customHeight="1">
      <c r="A360" s="24"/>
      <c r="B360" s="23"/>
      <c r="C360" s="23"/>
      <c r="D360" s="22"/>
      <c r="E360" s="23"/>
      <c r="F360" s="23"/>
      <c r="G360" s="23"/>
    </row>
    <row r="361" spans="1:7" ht="15.75" customHeight="1">
      <c r="A361" s="24"/>
      <c r="B361" s="23"/>
      <c r="C361" s="23"/>
      <c r="D361" s="22"/>
      <c r="E361" s="23"/>
      <c r="F361" s="23"/>
      <c r="G361" s="23"/>
    </row>
    <row r="362" spans="1:7" ht="15.75" customHeight="1">
      <c r="A362" s="24"/>
      <c r="B362" s="23"/>
      <c r="C362" s="23"/>
      <c r="D362" s="22"/>
      <c r="E362" s="23"/>
      <c r="F362" s="23"/>
      <c r="G362" s="23"/>
    </row>
    <row r="363" spans="1:7" ht="15.75" customHeight="1">
      <c r="A363" s="24"/>
      <c r="B363" s="23"/>
      <c r="C363" s="23"/>
      <c r="D363" s="22"/>
      <c r="E363" s="23"/>
      <c r="F363" s="23"/>
      <c r="G363" s="23"/>
    </row>
    <row r="364" spans="1:7" ht="15.75" customHeight="1">
      <c r="A364" s="24"/>
      <c r="B364" s="23"/>
      <c r="C364" s="23"/>
      <c r="D364" s="22"/>
      <c r="E364" s="23"/>
      <c r="F364" s="23"/>
      <c r="G364" s="23"/>
    </row>
    <row r="365" spans="1:7" ht="15.75" customHeight="1">
      <c r="A365" s="24"/>
      <c r="B365" s="23"/>
      <c r="C365" s="23"/>
      <c r="D365" s="22"/>
      <c r="E365" s="23"/>
      <c r="F365" s="23"/>
      <c r="G365" s="23"/>
    </row>
    <row r="366" spans="1:7" ht="15.75" customHeight="1">
      <c r="A366" s="24"/>
      <c r="B366" s="23"/>
      <c r="C366" s="23"/>
      <c r="D366" s="22"/>
      <c r="E366" s="23"/>
      <c r="F366" s="23"/>
      <c r="G366" s="23"/>
    </row>
    <row r="367" spans="1:7" ht="15.75" customHeight="1">
      <c r="A367" s="24"/>
      <c r="B367" s="23"/>
      <c r="C367" s="23"/>
      <c r="D367" s="22"/>
      <c r="E367" s="23"/>
      <c r="F367" s="23"/>
      <c r="G367" s="23"/>
    </row>
    <row r="368" spans="1:7" ht="15.75" customHeight="1">
      <c r="A368" s="24"/>
      <c r="B368" s="23"/>
      <c r="C368" s="23"/>
      <c r="D368" s="22"/>
      <c r="E368" s="23"/>
      <c r="F368" s="23"/>
      <c r="G368" s="23"/>
    </row>
    <row r="369" spans="1:7" ht="15.75" customHeight="1">
      <c r="A369" s="24"/>
      <c r="B369" s="23"/>
      <c r="C369" s="23"/>
      <c r="D369" s="22"/>
      <c r="E369" s="23"/>
      <c r="F369" s="23"/>
      <c r="G369" s="23"/>
    </row>
    <row r="370" spans="1:7" ht="15.75" customHeight="1">
      <c r="A370" s="24"/>
      <c r="B370" s="23"/>
      <c r="C370" s="23"/>
      <c r="D370" s="22"/>
      <c r="E370" s="23"/>
      <c r="F370" s="23"/>
      <c r="G370" s="23"/>
    </row>
    <row r="371" spans="1:7" ht="15.75" customHeight="1">
      <c r="A371" s="24"/>
      <c r="B371" s="23"/>
      <c r="C371" s="23"/>
      <c r="D371" s="22"/>
      <c r="E371" s="23"/>
      <c r="F371" s="23"/>
      <c r="G371" s="23"/>
    </row>
    <row r="372" spans="1:7" ht="15.75" customHeight="1">
      <c r="A372" s="24"/>
      <c r="B372" s="23"/>
      <c r="C372" s="23"/>
      <c r="D372" s="22"/>
      <c r="E372" s="23"/>
      <c r="F372" s="23"/>
      <c r="G372" s="23"/>
    </row>
    <row r="373" spans="1:7" ht="15.75" customHeight="1">
      <c r="A373" s="24"/>
      <c r="B373" s="23"/>
      <c r="C373" s="23"/>
      <c r="D373" s="22"/>
      <c r="E373" s="23"/>
      <c r="F373" s="23"/>
      <c r="G373" s="23"/>
    </row>
    <row r="374" spans="1:7" ht="15.75" customHeight="1">
      <c r="A374" s="24"/>
      <c r="B374" s="23"/>
      <c r="C374" s="23"/>
      <c r="D374" s="22"/>
      <c r="E374" s="23"/>
      <c r="F374" s="23"/>
      <c r="G374" s="23"/>
    </row>
    <row r="375" spans="1:7" ht="15.75" customHeight="1">
      <c r="A375" s="24"/>
      <c r="B375" s="23"/>
      <c r="C375" s="23"/>
      <c r="D375" s="22"/>
      <c r="E375" s="23"/>
      <c r="F375" s="23"/>
      <c r="G375" s="23"/>
    </row>
    <row r="376" spans="1:7" ht="15.75" customHeight="1">
      <c r="A376" s="24"/>
      <c r="B376" s="23"/>
      <c r="C376" s="23"/>
      <c r="D376" s="22"/>
      <c r="E376" s="23"/>
      <c r="F376" s="23"/>
      <c r="G376" s="23"/>
    </row>
    <row r="377" spans="1:7" ht="15.75" customHeight="1">
      <c r="A377" s="24"/>
      <c r="B377" s="23"/>
      <c r="C377" s="23"/>
      <c r="D377" s="22"/>
      <c r="E377" s="23"/>
      <c r="F377" s="23"/>
      <c r="G377" s="23"/>
    </row>
    <row r="378" spans="1:7" ht="15.75" customHeight="1">
      <c r="A378" s="24"/>
      <c r="B378" s="23"/>
      <c r="C378" s="23"/>
      <c r="D378" s="22"/>
      <c r="E378" s="23"/>
      <c r="F378" s="23"/>
      <c r="G378" s="23"/>
    </row>
    <row r="379" spans="1:7" ht="15.75" customHeight="1">
      <c r="A379" s="24"/>
      <c r="B379" s="23"/>
      <c r="C379" s="23"/>
      <c r="D379" s="22"/>
      <c r="E379" s="23"/>
      <c r="F379" s="23"/>
      <c r="G379" s="23"/>
    </row>
    <row r="380" spans="1:7" ht="15.75" customHeight="1">
      <c r="A380" s="24"/>
      <c r="B380" s="23"/>
      <c r="C380" s="23"/>
      <c r="D380" s="22"/>
      <c r="E380" s="23"/>
      <c r="F380" s="23"/>
      <c r="G380" s="23"/>
    </row>
    <row r="381" spans="1:7" ht="15.75" customHeight="1">
      <c r="A381" s="24"/>
      <c r="B381" s="23"/>
      <c r="C381" s="23"/>
      <c r="D381" s="22"/>
      <c r="E381" s="23"/>
      <c r="F381" s="23"/>
      <c r="G381" s="23"/>
    </row>
    <row r="382" spans="1:7" ht="15.75" customHeight="1">
      <c r="A382" s="24"/>
      <c r="B382" s="23"/>
      <c r="C382" s="23"/>
      <c r="D382" s="22"/>
      <c r="E382" s="23"/>
      <c r="F382" s="23"/>
      <c r="G382" s="23"/>
    </row>
    <row r="383" spans="1:7" ht="15.75" customHeight="1">
      <c r="A383" s="24"/>
      <c r="B383" s="23"/>
      <c r="C383" s="23"/>
      <c r="D383" s="22"/>
      <c r="E383" s="23"/>
      <c r="F383" s="23"/>
      <c r="G383" s="23"/>
    </row>
    <row r="384" spans="1:7" ht="15.75" customHeight="1">
      <c r="A384" s="24"/>
      <c r="B384" s="23"/>
      <c r="C384" s="23"/>
      <c r="D384" s="22"/>
      <c r="E384" s="23"/>
      <c r="F384" s="23"/>
      <c r="G384" s="23"/>
    </row>
    <row r="385" spans="1:7" ht="15.75" customHeight="1">
      <c r="A385" s="24"/>
      <c r="B385" s="23"/>
      <c r="C385" s="23"/>
      <c r="D385" s="22"/>
      <c r="E385" s="23"/>
      <c r="F385" s="23"/>
      <c r="G385" s="23"/>
    </row>
    <row r="386" spans="1:7" ht="15.75" customHeight="1">
      <c r="A386" s="24"/>
      <c r="B386" s="23"/>
      <c r="C386" s="23"/>
      <c r="D386" s="22"/>
      <c r="E386" s="23"/>
      <c r="F386" s="23"/>
      <c r="G386" s="23"/>
    </row>
    <row r="387" spans="1:7" ht="15.75" customHeight="1">
      <c r="A387" s="24"/>
      <c r="B387" s="23"/>
      <c r="C387" s="23"/>
      <c r="D387" s="22"/>
      <c r="E387" s="23"/>
      <c r="F387" s="23"/>
      <c r="G387" s="23"/>
    </row>
    <row r="388" spans="1:7" ht="15.75" customHeight="1">
      <c r="A388" s="24"/>
      <c r="B388" s="23"/>
      <c r="C388" s="23"/>
      <c r="D388" s="22"/>
      <c r="E388" s="23"/>
      <c r="F388" s="23"/>
      <c r="G388" s="23"/>
    </row>
    <row r="389" spans="1:7" ht="15.75" customHeight="1">
      <c r="A389" s="24"/>
      <c r="B389" s="23"/>
      <c r="C389" s="23"/>
      <c r="D389" s="22"/>
      <c r="E389" s="23"/>
      <c r="F389" s="23"/>
      <c r="G389" s="23"/>
    </row>
    <row r="390" spans="1:7" ht="15.75" customHeight="1">
      <c r="A390" s="24"/>
      <c r="B390" s="23"/>
      <c r="C390" s="23"/>
      <c r="D390" s="22"/>
      <c r="E390" s="23"/>
      <c r="F390" s="23"/>
      <c r="G390" s="23"/>
    </row>
    <row r="391" spans="1:7" ht="15.75" customHeight="1">
      <c r="A391" s="24"/>
      <c r="B391" s="23"/>
      <c r="C391" s="23"/>
      <c r="D391" s="22"/>
      <c r="E391" s="23"/>
      <c r="F391" s="23"/>
      <c r="G391" s="23"/>
    </row>
    <row r="392" spans="1:7" ht="15.75" customHeight="1">
      <c r="A392" s="24"/>
      <c r="B392" s="23"/>
      <c r="C392" s="23"/>
      <c r="D392" s="22"/>
      <c r="E392" s="23"/>
      <c r="F392" s="23"/>
      <c r="G392" s="23"/>
    </row>
    <row r="393" spans="1:7" ht="15.75" customHeight="1">
      <c r="A393" s="24"/>
      <c r="B393" s="23"/>
      <c r="C393" s="23"/>
      <c r="D393" s="22"/>
      <c r="E393" s="23"/>
      <c r="F393" s="23"/>
      <c r="G393" s="23"/>
    </row>
    <row r="394" spans="1:7" ht="15.75" customHeight="1">
      <c r="A394" s="24"/>
      <c r="B394" s="23"/>
      <c r="C394" s="23"/>
      <c r="D394" s="22"/>
      <c r="E394" s="23"/>
      <c r="F394" s="23"/>
      <c r="G394" s="23"/>
    </row>
    <row r="395" spans="1:7" ht="15.75" customHeight="1">
      <c r="A395" s="24"/>
      <c r="B395" s="23"/>
      <c r="C395" s="23"/>
      <c r="D395" s="22"/>
      <c r="E395" s="23"/>
      <c r="F395" s="23"/>
      <c r="G395" s="23"/>
    </row>
    <row r="396" spans="1:7" ht="15.75" customHeight="1">
      <c r="A396" s="24"/>
      <c r="B396" s="23"/>
      <c r="C396" s="23"/>
      <c r="D396" s="22"/>
      <c r="E396" s="23"/>
      <c r="F396" s="23"/>
      <c r="G396" s="23"/>
    </row>
    <row r="397" spans="1:7" ht="15.75" customHeight="1">
      <c r="A397" s="24"/>
      <c r="B397" s="23"/>
      <c r="C397" s="23"/>
      <c r="D397" s="22"/>
      <c r="E397" s="23"/>
      <c r="F397" s="23"/>
      <c r="G397" s="23"/>
    </row>
    <row r="398" spans="1:7" ht="15.75" customHeight="1">
      <c r="A398" s="24"/>
      <c r="B398" s="23"/>
      <c r="C398" s="23"/>
      <c r="D398" s="22"/>
      <c r="E398" s="23"/>
      <c r="F398" s="23"/>
      <c r="G398" s="23"/>
    </row>
    <row r="399" spans="1:7" ht="15.75" customHeight="1">
      <c r="A399" s="24"/>
      <c r="B399" s="23"/>
      <c r="C399" s="23"/>
      <c r="D399" s="22"/>
      <c r="E399" s="23"/>
      <c r="F399" s="23"/>
      <c r="G399" s="23"/>
    </row>
    <row r="400" spans="1:7" ht="15.75" customHeight="1">
      <c r="A400" s="24"/>
      <c r="B400" s="23"/>
      <c r="C400" s="23"/>
      <c r="D400" s="22"/>
      <c r="E400" s="23"/>
      <c r="F400" s="23"/>
      <c r="G400" s="23"/>
    </row>
    <row r="401" spans="1:7" ht="15.75" customHeight="1">
      <c r="A401" s="24"/>
      <c r="B401" s="23"/>
      <c r="C401" s="23"/>
      <c r="D401" s="22"/>
      <c r="E401" s="23"/>
      <c r="F401" s="23"/>
      <c r="G401" s="23"/>
    </row>
    <row r="402" spans="1:7" ht="15.75" customHeight="1">
      <c r="A402" s="24"/>
      <c r="B402" s="23"/>
      <c r="C402" s="23"/>
      <c r="D402" s="22"/>
      <c r="E402" s="23"/>
      <c r="F402" s="23"/>
      <c r="G402" s="23"/>
    </row>
    <row r="403" spans="1:7" ht="15.75" customHeight="1">
      <c r="A403" s="24"/>
      <c r="B403" s="23"/>
      <c r="C403" s="23"/>
      <c r="D403" s="22"/>
      <c r="E403" s="23"/>
      <c r="F403" s="23"/>
      <c r="G403" s="23"/>
    </row>
    <row r="404" spans="1:7" ht="15.75" customHeight="1">
      <c r="A404" s="24"/>
      <c r="B404" s="23"/>
      <c r="C404" s="23"/>
      <c r="D404" s="22"/>
      <c r="E404" s="23"/>
      <c r="F404" s="23"/>
      <c r="G404" s="23"/>
    </row>
    <row r="405" spans="1:7" ht="15.75" customHeight="1">
      <c r="A405" s="24"/>
      <c r="B405" s="23"/>
      <c r="C405" s="23"/>
      <c r="D405" s="22"/>
      <c r="E405" s="23"/>
      <c r="F405" s="23"/>
      <c r="G405" s="23"/>
    </row>
    <row r="406" spans="1:7" ht="15.75" customHeight="1">
      <c r="A406" s="24"/>
      <c r="B406" s="23"/>
      <c r="C406" s="23"/>
      <c r="D406" s="22"/>
      <c r="E406" s="23"/>
      <c r="F406" s="23"/>
      <c r="G406" s="23"/>
    </row>
    <row r="407" spans="1:7" ht="15.75" customHeight="1">
      <c r="A407" s="24"/>
      <c r="B407" s="23"/>
      <c r="C407" s="23"/>
      <c r="D407" s="22"/>
      <c r="E407" s="23"/>
      <c r="F407" s="23"/>
      <c r="G407" s="23"/>
    </row>
    <row r="408" spans="1:7" ht="15.75" customHeight="1">
      <c r="A408" s="24"/>
      <c r="B408" s="23"/>
      <c r="C408" s="23"/>
      <c r="D408" s="22"/>
      <c r="E408" s="23"/>
      <c r="F408" s="23"/>
      <c r="G408" s="23"/>
    </row>
    <row r="409" spans="1:7" ht="15.75" customHeight="1">
      <c r="A409" s="24"/>
      <c r="B409" s="23"/>
      <c r="C409" s="23"/>
      <c r="D409" s="22"/>
      <c r="E409" s="23"/>
      <c r="F409" s="23"/>
      <c r="G409" s="23"/>
    </row>
    <row r="410" spans="1:7" ht="15.75" customHeight="1">
      <c r="A410" s="24"/>
      <c r="B410" s="23"/>
      <c r="C410" s="23"/>
      <c r="D410" s="22"/>
      <c r="E410" s="23"/>
      <c r="F410" s="23"/>
      <c r="G410" s="23"/>
    </row>
    <row r="411" spans="1:7" ht="15.75" customHeight="1">
      <c r="A411" s="24"/>
      <c r="B411" s="23"/>
      <c r="C411" s="23"/>
      <c r="D411" s="22"/>
      <c r="E411" s="23"/>
      <c r="F411" s="23"/>
      <c r="G411" s="23"/>
    </row>
    <row r="412" spans="1:7" ht="15.75" customHeight="1">
      <c r="A412" s="24"/>
      <c r="B412" s="23"/>
      <c r="C412" s="23"/>
      <c r="D412" s="22"/>
      <c r="E412" s="23"/>
      <c r="F412" s="23"/>
      <c r="G412" s="23"/>
    </row>
    <row r="413" spans="1:7" ht="15.75" customHeight="1">
      <c r="A413" s="24"/>
      <c r="B413" s="23"/>
      <c r="C413" s="23"/>
      <c r="D413" s="22"/>
      <c r="E413" s="23"/>
      <c r="F413" s="23"/>
      <c r="G413" s="23"/>
    </row>
    <row r="414" spans="1:7" ht="15.75" customHeight="1">
      <c r="A414" s="24"/>
      <c r="B414" s="23"/>
      <c r="C414" s="23"/>
      <c r="D414" s="22"/>
      <c r="E414" s="23"/>
      <c r="F414" s="23"/>
      <c r="G414" s="23"/>
    </row>
    <row r="415" spans="1:7" ht="15.75" customHeight="1">
      <c r="A415" s="24"/>
      <c r="B415" s="23"/>
      <c r="C415" s="23"/>
      <c r="D415" s="22"/>
      <c r="E415" s="23"/>
      <c r="F415" s="23"/>
      <c r="G415" s="23"/>
    </row>
    <row r="416" spans="1:7" ht="15.75" customHeight="1">
      <c r="A416" s="24"/>
      <c r="B416" s="23"/>
      <c r="C416" s="23"/>
      <c r="D416" s="22"/>
      <c r="E416" s="23"/>
      <c r="F416" s="23"/>
      <c r="G416" s="23"/>
    </row>
    <row r="417" spans="1:7" ht="15.75" customHeight="1">
      <c r="A417" s="24"/>
      <c r="B417" s="23"/>
      <c r="C417" s="23"/>
      <c r="D417" s="22"/>
      <c r="E417" s="23"/>
      <c r="F417" s="23"/>
      <c r="G417" s="23"/>
    </row>
    <row r="418" spans="1:7" ht="15.75" customHeight="1">
      <c r="A418" s="24"/>
      <c r="B418" s="23"/>
      <c r="C418" s="23"/>
      <c r="D418" s="22"/>
      <c r="E418" s="23"/>
      <c r="F418" s="23"/>
      <c r="G418" s="23"/>
    </row>
    <row r="419" spans="1:7" ht="15.75" customHeight="1">
      <c r="A419" s="24"/>
      <c r="B419" s="23"/>
      <c r="C419" s="23"/>
      <c r="D419" s="22"/>
      <c r="E419" s="23"/>
      <c r="F419" s="23"/>
      <c r="G419" s="23"/>
    </row>
    <row r="420" spans="1:7" ht="15.75" customHeight="1">
      <c r="A420" s="24"/>
      <c r="B420" s="23"/>
      <c r="C420" s="23"/>
      <c r="D420" s="22"/>
      <c r="E420" s="23"/>
      <c r="F420" s="23"/>
      <c r="G420" s="23"/>
    </row>
    <row r="421" spans="1:7" ht="15.75" customHeight="1">
      <c r="A421" s="24"/>
      <c r="B421" s="23"/>
      <c r="C421" s="23"/>
      <c r="D421" s="22"/>
      <c r="E421" s="23"/>
      <c r="F421" s="23"/>
      <c r="G421" s="23"/>
    </row>
    <row r="422" spans="1:7" ht="15.75" customHeight="1">
      <c r="A422" s="24"/>
      <c r="B422" s="23"/>
      <c r="C422" s="23"/>
      <c r="D422" s="22"/>
      <c r="E422" s="23"/>
      <c r="F422" s="23"/>
      <c r="G422" s="23"/>
    </row>
    <row r="423" spans="1:7" ht="15.75" customHeight="1">
      <c r="A423" s="24"/>
      <c r="B423" s="23"/>
      <c r="C423" s="23"/>
      <c r="D423" s="22"/>
      <c r="E423" s="23"/>
      <c r="F423" s="23"/>
      <c r="G423" s="23"/>
    </row>
    <row r="424" spans="1:7" ht="15.75" customHeight="1">
      <c r="A424" s="24"/>
      <c r="B424" s="23"/>
      <c r="C424" s="23"/>
      <c r="D424" s="22"/>
      <c r="E424" s="23"/>
      <c r="F424" s="23"/>
      <c r="G424" s="23"/>
    </row>
    <row r="425" spans="1:7" ht="15.75" customHeight="1">
      <c r="A425" s="24"/>
      <c r="B425" s="23"/>
      <c r="C425" s="23"/>
      <c r="D425" s="22"/>
      <c r="E425" s="23"/>
      <c r="F425" s="23"/>
      <c r="G425" s="23"/>
    </row>
    <row r="426" spans="1:7" ht="15.75" customHeight="1">
      <c r="A426" s="24"/>
      <c r="B426" s="23"/>
      <c r="C426" s="23"/>
      <c r="D426" s="22"/>
      <c r="E426" s="23"/>
      <c r="F426" s="23"/>
      <c r="G426" s="23"/>
    </row>
    <row r="427" spans="1:7" ht="15.75" customHeight="1">
      <c r="A427" s="24"/>
      <c r="B427" s="23"/>
      <c r="C427" s="23"/>
      <c r="D427" s="22"/>
      <c r="E427" s="23"/>
      <c r="F427" s="23"/>
      <c r="G427" s="23"/>
    </row>
    <row r="428" spans="1:7" ht="15.75" customHeight="1">
      <c r="A428" s="24"/>
      <c r="B428" s="23"/>
      <c r="C428" s="23"/>
      <c r="D428" s="22"/>
      <c r="E428" s="23"/>
      <c r="F428" s="23"/>
      <c r="G428" s="23"/>
    </row>
    <row r="429" spans="1:7" ht="15.75" customHeight="1">
      <c r="A429" s="24"/>
      <c r="B429" s="23"/>
      <c r="C429" s="23"/>
      <c r="D429" s="22"/>
      <c r="E429" s="23"/>
      <c r="F429" s="23"/>
      <c r="G429" s="23"/>
    </row>
    <row r="430" spans="1:7" ht="15.75" customHeight="1">
      <c r="A430" s="24"/>
      <c r="B430" s="23"/>
      <c r="C430" s="23"/>
      <c r="D430" s="22"/>
      <c r="E430" s="23"/>
      <c r="F430" s="23"/>
      <c r="G430" s="23"/>
    </row>
    <row r="431" spans="1:7" ht="15.75" customHeight="1">
      <c r="A431" s="24"/>
      <c r="B431" s="23"/>
      <c r="C431" s="23"/>
      <c r="D431" s="22"/>
      <c r="E431" s="23"/>
      <c r="F431" s="23"/>
      <c r="G431" s="23"/>
    </row>
    <row r="432" spans="1:7" ht="15.75" customHeight="1">
      <c r="A432" s="24"/>
      <c r="B432" s="23"/>
      <c r="C432" s="23"/>
      <c r="D432" s="22"/>
      <c r="E432" s="23"/>
      <c r="F432" s="23"/>
      <c r="G432" s="23"/>
    </row>
    <row r="433" spans="1:7" ht="15.75" customHeight="1">
      <c r="A433" s="24"/>
      <c r="B433" s="23"/>
      <c r="C433" s="23"/>
      <c r="D433" s="22"/>
      <c r="E433" s="23"/>
      <c r="F433" s="23"/>
      <c r="G433" s="23"/>
    </row>
    <row r="434" spans="1:7" ht="15.75" customHeight="1">
      <c r="A434" s="24"/>
      <c r="B434" s="23"/>
      <c r="C434" s="23"/>
      <c r="D434" s="22"/>
      <c r="E434" s="23"/>
      <c r="F434" s="23"/>
      <c r="G434" s="23"/>
    </row>
    <row r="435" spans="1:7" ht="15.75" customHeight="1">
      <c r="A435" s="24"/>
      <c r="B435" s="23"/>
      <c r="C435" s="23"/>
      <c r="D435" s="22"/>
      <c r="E435" s="23"/>
      <c r="F435" s="23"/>
      <c r="G435" s="23"/>
    </row>
    <row r="436" spans="1:7" ht="15.75" customHeight="1">
      <c r="A436" s="24"/>
      <c r="B436" s="23"/>
      <c r="C436" s="23"/>
      <c r="D436" s="22"/>
      <c r="E436" s="23"/>
      <c r="F436" s="23"/>
      <c r="G436" s="23"/>
    </row>
    <row r="437" spans="1:7" ht="15.75" customHeight="1">
      <c r="A437" s="24"/>
      <c r="B437" s="23"/>
      <c r="C437" s="23"/>
      <c r="D437" s="22"/>
      <c r="E437" s="23"/>
      <c r="F437" s="23"/>
      <c r="G437" s="23"/>
    </row>
    <row r="438" spans="1:7" ht="15.75" customHeight="1">
      <c r="A438" s="24"/>
      <c r="B438" s="23"/>
      <c r="C438" s="23"/>
      <c r="D438" s="22"/>
      <c r="E438" s="23"/>
      <c r="F438" s="23"/>
      <c r="G438" s="23"/>
    </row>
    <row r="439" spans="1:7" ht="15.75" customHeight="1">
      <c r="A439" s="24"/>
      <c r="B439" s="23"/>
      <c r="C439" s="23"/>
      <c r="D439" s="22"/>
      <c r="E439" s="23"/>
      <c r="F439" s="23"/>
      <c r="G439" s="23"/>
    </row>
    <row r="440" spans="1:7" ht="15.75" customHeight="1">
      <c r="A440" s="24"/>
      <c r="B440" s="23"/>
      <c r="C440" s="23"/>
      <c r="D440" s="22"/>
      <c r="E440" s="23"/>
      <c r="F440" s="23"/>
      <c r="G440" s="23"/>
    </row>
    <row r="441" spans="1:7" ht="15.75" customHeight="1">
      <c r="A441" s="24"/>
      <c r="B441" s="23"/>
      <c r="C441" s="23"/>
      <c r="D441" s="22"/>
      <c r="E441" s="23"/>
      <c r="F441" s="23"/>
      <c r="G441" s="23"/>
    </row>
    <row r="442" spans="1:7" ht="15.75" customHeight="1">
      <c r="A442" s="24"/>
      <c r="B442" s="23"/>
      <c r="C442" s="23"/>
      <c r="D442" s="22"/>
      <c r="E442" s="23"/>
      <c r="F442" s="23"/>
      <c r="G442" s="23"/>
    </row>
    <row r="443" spans="1:7" ht="15.75" customHeight="1">
      <c r="A443" s="24"/>
      <c r="B443" s="23"/>
      <c r="C443" s="23"/>
      <c r="D443" s="22"/>
      <c r="E443" s="23"/>
      <c r="F443" s="23"/>
      <c r="G443" s="23"/>
    </row>
    <row r="444" spans="1:7" ht="15.75" customHeight="1">
      <c r="A444" s="24"/>
      <c r="B444" s="23"/>
      <c r="C444" s="23"/>
      <c r="D444" s="22"/>
      <c r="E444" s="23"/>
      <c r="F444" s="23"/>
      <c r="G444" s="23"/>
    </row>
    <row r="445" spans="1:7" ht="15.75" customHeight="1">
      <c r="A445" s="24"/>
      <c r="B445" s="23"/>
      <c r="C445" s="23"/>
      <c r="D445" s="22"/>
      <c r="E445" s="23"/>
      <c r="F445" s="23"/>
      <c r="G445" s="23"/>
    </row>
    <row r="446" spans="1:7" ht="15.75" customHeight="1">
      <c r="A446" s="24"/>
      <c r="B446" s="23"/>
      <c r="C446" s="23"/>
      <c r="D446" s="22"/>
      <c r="E446" s="23"/>
      <c r="F446" s="23"/>
      <c r="G446" s="23"/>
    </row>
    <row r="447" spans="1:7" ht="15.75" customHeight="1">
      <c r="A447" s="24"/>
      <c r="B447" s="23"/>
      <c r="C447" s="23"/>
      <c r="D447" s="22"/>
      <c r="E447" s="23"/>
      <c r="F447" s="23"/>
      <c r="G447" s="23"/>
    </row>
    <row r="448" spans="1:7" ht="15.75" customHeight="1">
      <c r="A448" s="24"/>
      <c r="B448" s="23"/>
      <c r="C448" s="23"/>
      <c r="D448" s="22"/>
      <c r="E448" s="23"/>
      <c r="F448" s="23"/>
      <c r="G448" s="23"/>
    </row>
    <row r="449" spans="1:7" ht="15.75" customHeight="1">
      <c r="A449" s="24"/>
      <c r="B449" s="23"/>
      <c r="C449" s="23"/>
      <c r="D449" s="22"/>
      <c r="E449" s="23"/>
      <c r="F449" s="23"/>
      <c r="G449" s="23"/>
    </row>
    <row r="450" spans="1:7" ht="15.75" customHeight="1">
      <c r="A450" s="24"/>
      <c r="B450" s="23"/>
      <c r="C450" s="23"/>
      <c r="D450" s="22"/>
      <c r="E450" s="23"/>
      <c r="F450" s="23"/>
      <c r="G450" s="23"/>
    </row>
    <row r="451" spans="1:7" ht="15.75" customHeight="1">
      <c r="A451" s="24"/>
      <c r="B451" s="23"/>
      <c r="C451" s="23"/>
      <c r="D451" s="22"/>
      <c r="E451" s="23"/>
      <c r="F451" s="23"/>
      <c r="G451" s="23"/>
    </row>
    <row r="452" spans="1:7" ht="15.75" customHeight="1">
      <c r="A452" s="24"/>
      <c r="B452" s="23"/>
      <c r="C452" s="23"/>
      <c r="D452" s="22"/>
      <c r="E452" s="23"/>
      <c r="F452" s="23"/>
      <c r="G452" s="23"/>
    </row>
    <row r="453" spans="1:7" ht="15.75" customHeight="1">
      <c r="A453" s="24"/>
      <c r="B453" s="23"/>
      <c r="C453" s="23"/>
      <c r="D453" s="22"/>
      <c r="E453" s="23"/>
      <c r="F453" s="23"/>
      <c r="G453" s="23"/>
    </row>
    <row r="454" spans="1:7" ht="15.75" customHeight="1">
      <c r="A454" s="24"/>
      <c r="B454" s="23"/>
      <c r="C454" s="23"/>
      <c r="D454" s="22"/>
      <c r="E454" s="23"/>
      <c r="F454" s="23"/>
      <c r="G454" s="23"/>
    </row>
    <row r="455" spans="1:7" ht="15.75" customHeight="1">
      <c r="A455" s="24"/>
      <c r="B455" s="23"/>
      <c r="C455" s="23"/>
      <c r="D455" s="22"/>
      <c r="E455" s="23"/>
      <c r="F455" s="23"/>
      <c r="G455" s="23"/>
    </row>
    <row r="456" spans="1:7" ht="15.75" customHeight="1">
      <c r="A456" s="24"/>
      <c r="B456" s="23"/>
      <c r="C456" s="23"/>
      <c r="D456" s="22"/>
      <c r="E456" s="23"/>
      <c r="F456" s="23"/>
      <c r="G456" s="23"/>
    </row>
    <row r="457" spans="1:7" ht="15.75" customHeight="1">
      <c r="A457" s="24"/>
      <c r="B457" s="23"/>
      <c r="C457" s="23"/>
      <c r="D457" s="22"/>
      <c r="E457" s="23"/>
      <c r="F457" s="23"/>
      <c r="G457" s="23"/>
    </row>
    <row r="458" spans="1:7" ht="15.75" customHeight="1">
      <c r="A458" s="24"/>
      <c r="B458" s="23"/>
      <c r="C458" s="23"/>
      <c r="D458" s="22"/>
      <c r="E458" s="23"/>
      <c r="F458" s="23"/>
      <c r="G458" s="23"/>
    </row>
    <row r="459" spans="1:7" ht="15.75" customHeight="1">
      <c r="A459" s="24"/>
      <c r="B459" s="23"/>
      <c r="C459" s="23"/>
      <c r="D459" s="22"/>
      <c r="E459" s="23"/>
      <c r="F459" s="23"/>
      <c r="G459" s="23"/>
    </row>
    <row r="460" spans="1:7" ht="15.75" customHeight="1">
      <c r="A460" s="24"/>
      <c r="B460" s="23"/>
      <c r="C460" s="23"/>
      <c r="D460" s="22"/>
      <c r="E460" s="23"/>
      <c r="F460" s="23"/>
      <c r="G460" s="23"/>
    </row>
    <row r="461" spans="1:7" ht="15.75" customHeight="1">
      <c r="A461" s="24"/>
      <c r="B461" s="23"/>
      <c r="C461" s="23"/>
      <c r="D461" s="22"/>
      <c r="E461" s="23"/>
      <c r="F461" s="23"/>
      <c r="G461" s="23"/>
    </row>
    <row r="462" spans="1:7" ht="15.75" customHeight="1">
      <c r="A462" s="24"/>
      <c r="B462" s="23"/>
      <c r="C462" s="23"/>
      <c r="D462" s="22"/>
      <c r="E462" s="23"/>
      <c r="F462" s="23"/>
      <c r="G462" s="23"/>
    </row>
    <row r="463" spans="1:7" ht="15.75" customHeight="1">
      <c r="A463" s="24"/>
      <c r="B463" s="23"/>
      <c r="C463" s="23"/>
      <c r="D463" s="22"/>
      <c r="E463" s="23"/>
      <c r="F463" s="23"/>
      <c r="G463" s="23"/>
    </row>
    <row r="464" spans="1:7" ht="15.75" customHeight="1">
      <c r="A464" s="24"/>
      <c r="B464" s="23"/>
      <c r="C464" s="23"/>
      <c r="D464" s="22"/>
      <c r="E464" s="23"/>
      <c r="F464" s="23"/>
      <c r="G464" s="23"/>
    </row>
    <row r="465" spans="1:7" ht="15.75" customHeight="1">
      <c r="A465" s="24"/>
      <c r="B465" s="23"/>
      <c r="C465" s="23"/>
      <c r="D465" s="22"/>
      <c r="E465" s="23"/>
      <c r="F465" s="23"/>
      <c r="G465" s="23"/>
    </row>
    <row r="466" spans="1:7" ht="15.75" customHeight="1">
      <c r="A466" s="24"/>
      <c r="B466" s="23"/>
      <c r="C466" s="23"/>
      <c r="D466" s="22"/>
      <c r="E466" s="23"/>
      <c r="F466" s="23"/>
      <c r="G466" s="23"/>
    </row>
    <row r="467" spans="1:7" ht="15.75" customHeight="1">
      <c r="A467" s="24"/>
      <c r="B467" s="23"/>
      <c r="C467" s="23"/>
      <c r="D467" s="22"/>
      <c r="E467" s="23"/>
      <c r="F467" s="23"/>
      <c r="G467" s="23"/>
    </row>
    <row r="468" spans="1:7" ht="15.75" customHeight="1">
      <c r="A468" s="24"/>
      <c r="B468" s="23"/>
      <c r="C468" s="23"/>
      <c r="D468" s="22"/>
      <c r="E468" s="23"/>
      <c r="F468" s="23"/>
      <c r="G468" s="23"/>
    </row>
    <row r="469" spans="1:7" ht="15.75" customHeight="1">
      <c r="A469" s="24"/>
      <c r="B469" s="23"/>
      <c r="C469" s="23"/>
      <c r="D469" s="22"/>
      <c r="E469" s="23"/>
      <c r="F469" s="23"/>
      <c r="G469" s="23"/>
    </row>
    <row r="470" spans="1:7" ht="15.75" customHeight="1">
      <c r="A470" s="24"/>
      <c r="B470" s="23"/>
      <c r="C470" s="23"/>
      <c r="D470" s="22"/>
      <c r="E470" s="23"/>
      <c r="F470" s="23"/>
      <c r="G470" s="23"/>
    </row>
    <row r="471" spans="1:7" ht="15.75" customHeight="1">
      <c r="A471" s="24"/>
      <c r="B471" s="23"/>
      <c r="C471" s="23"/>
      <c r="D471" s="22"/>
      <c r="E471" s="23"/>
      <c r="F471" s="23"/>
      <c r="G471" s="23"/>
    </row>
    <row r="472" spans="1:7" ht="15.75" customHeight="1">
      <c r="A472" s="24"/>
      <c r="B472" s="23"/>
      <c r="C472" s="23"/>
      <c r="D472" s="22"/>
      <c r="E472" s="23"/>
      <c r="F472" s="23"/>
      <c r="G472" s="23"/>
    </row>
    <row r="473" spans="1:7" ht="15.75" customHeight="1">
      <c r="A473" s="24"/>
      <c r="B473" s="23"/>
      <c r="C473" s="23"/>
      <c r="D473" s="22"/>
      <c r="E473" s="23"/>
      <c r="F473" s="23"/>
      <c r="G473" s="23"/>
    </row>
    <row r="474" spans="1:7" ht="15.75" customHeight="1">
      <c r="A474" s="24"/>
      <c r="B474" s="23"/>
      <c r="C474" s="23"/>
      <c r="D474" s="22"/>
      <c r="E474" s="23"/>
      <c r="F474" s="23"/>
      <c r="G474" s="23"/>
    </row>
    <row r="475" spans="1:7" ht="15.75" customHeight="1">
      <c r="A475" s="24"/>
      <c r="B475" s="23"/>
      <c r="C475" s="23"/>
      <c r="D475" s="22"/>
      <c r="E475" s="23"/>
      <c r="F475" s="23"/>
      <c r="G475" s="23"/>
    </row>
    <row r="476" spans="1:7" ht="15.75" customHeight="1">
      <c r="A476" s="24"/>
      <c r="B476" s="23"/>
      <c r="C476" s="23"/>
      <c r="D476" s="22"/>
      <c r="E476" s="23"/>
      <c r="F476" s="23"/>
      <c r="G476" s="23"/>
    </row>
    <row r="477" spans="1:7" ht="15.75" customHeight="1">
      <c r="A477" s="24"/>
      <c r="B477" s="23"/>
      <c r="C477" s="23"/>
      <c r="D477" s="22"/>
      <c r="E477" s="23"/>
      <c r="F477" s="23"/>
      <c r="G477" s="23"/>
    </row>
    <row r="478" spans="1:7" ht="15.75" customHeight="1">
      <c r="A478" s="24"/>
      <c r="B478" s="23"/>
      <c r="C478" s="23"/>
      <c r="D478" s="22"/>
      <c r="E478" s="23"/>
      <c r="F478" s="23"/>
      <c r="G478" s="23"/>
    </row>
    <row r="479" spans="1:7" ht="15.75" customHeight="1">
      <c r="A479" s="24"/>
      <c r="B479" s="23"/>
      <c r="C479" s="23"/>
      <c r="D479" s="22"/>
      <c r="E479" s="23"/>
      <c r="F479" s="23"/>
      <c r="G479" s="23"/>
    </row>
    <row r="480" spans="1:7" ht="15.75" customHeight="1">
      <c r="A480" s="24"/>
      <c r="B480" s="23"/>
      <c r="C480" s="23"/>
      <c r="D480" s="22"/>
      <c r="E480" s="23"/>
      <c r="F480" s="23"/>
      <c r="G480" s="23"/>
    </row>
    <row r="481" spans="1:7" ht="15.75" customHeight="1">
      <c r="A481" s="24"/>
      <c r="B481" s="23"/>
      <c r="C481" s="23"/>
      <c r="D481" s="22"/>
      <c r="E481" s="23"/>
      <c r="F481" s="23"/>
      <c r="G481" s="23"/>
    </row>
    <row r="482" spans="1:7" ht="15.75" customHeight="1">
      <c r="A482" s="24"/>
      <c r="B482" s="23"/>
      <c r="C482" s="23"/>
      <c r="D482" s="22"/>
      <c r="E482" s="23"/>
      <c r="F482" s="23"/>
      <c r="G482" s="23"/>
    </row>
    <row r="483" spans="1:7" ht="15.75" customHeight="1">
      <c r="A483" s="24"/>
      <c r="B483" s="23"/>
      <c r="C483" s="23"/>
      <c r="D483" s="22"/>
      <c r="E483" s="23"/>
      <c r="F483" s="23"/>
      <c r="G483" s="23"/>
    </row>
    <row r="484" spans="1:7" ht="15.75" customHeight="1">
      <c r="A484" s="24"/>
      <c r="B484" s="23"/>
      <c r="C484" s="23"/>
      <c r="D484" s="22"/>
      <c r="E484" s="23"/>
      <c r="F484" s="23"/>
      <c r="G484" s="23"/>
    </row>
    <row r="485" spans="1:7" ht="15.75" customHeight="1">
      <c r="A485" s="24"/>
      <c r="B485" s="23"/>
      <c r="C485" s="23"/>
      <c r="D485" s="22"/>
      <c r="E485" s="23"/>
      <c r="F485" s="23"/>
      <c r="G485" s="23"/>
    </row>
    <row r="486" spans="1:7" ht="15.75" customHeight="1">
      <c r="A486" s="24"/>
      <c r="B486" s="23"/>
      <c r="C486" s="23"/>
      <c r="D486" s="22"/>
      <c r="E486" s="23"/>
      <c r="F486" s="23"/>
      <c r="G486" s="23"/>
    </row>
    <row r="487" spans="1:7" ht="15.75" customHeight="1">
      <c r="A487" s="24"/>
      <c r="B487" s="23"/>
      <c r="C487" s="23"/>
      <c r="D487" s="22"/>
      <c r="E487" s="23"/>
      <c r="F487" s="23"/>
      <c r="G487" s="23"/>
    </row>
    <row r="488" spans="1:7" ht="15.75" customHeight="1">
      <c r="A488" s="24"/>
      <c r="B488" s="23"/>
      <c r="C488" s="23"/>
      <c r="D488" s="22"/>
      <c r="E488" s="23"/>
      <c r="F488" s="23"/>
      <c r="G488" s="23"/>
    </row>
    <row r="489" spans="1:7" ht="15.75" customHeight="1">
      <c r="A489" s="24"/>
      <c r="B489" s="23"/>
      <c r="C489" s="23"/>
      <c r="D489" s="22"/>
      <c r="E489" s="23"/>
      <c r="F489" s="23"/>
      <c r="G489" s="23"/>
    </row>
    <row r="490" spans="1:7" ht="15.75" customHeight="1">
      <c r="A490" s="24"/>
      <c r="B490" s="23"/>
      <c r="C490" s="23"/>
      <c r="D490" s="22"/>
      <c r="E490" s="23"/>
      <c r="F490" s="23"/>
      <c r="G490" s="23"/>
    </row>
    <row r="491" spans="1:7" ht="15.75" customHeight="1">
      <c r="A491" s="24"/>
      <c r="B491" s="23"/>
      <c r="C491" s="23"/>
      <c r="D491" s="22"/>
      <c r="E491" s="23"/>
      <c r="F491" s="23"/>
      <c r="G491" s="23"/>
    </row>
    <row r="492" spans="1:7" ht="15.75" customHeight="1">
      <c r="A492" s="24"/>
      <c r="B492" s="23"/>
      <c r="C492" s="23"/>
      <c r="D492" s="22"/>
      <c r="E492" s="23"/>
      <c r="F492" s="23"/>
      <c r="G492" s="23"/>
    </row>
    <row r="493" spans="1:7" ht="15.75" customHeight="1">
      <c r="A493" s="24"/>
      <c r="B493" s="23"/>
      <c r="C493" s="23"/>
      <c r="D493" s="22"/>
      <c r="E493" s="23"/>
      <c r="F493" s="23"/>
      <c r="G493" s="23"/>
    </row>
    <row r="494" spans="1:7" ht="15.75" customHeight="1">
      <c r="A494" s="24"/>
      <c r="B494" s="23"/>
      <c r="C494" s="23"/>
      <c r="D494" s="22"/>
      <c r="E494" s="23"/>
      <c r="F494" s="23"/>
      <c r="G494" s="23"/>
    </row>
    <row r="495" spans="1:7" ht="15.75" customHeight="1">
      <c r="A495" s="24"/>
      <c r="B495" s="23"/>
      <c r="C495" s="23"/>
      <c r="D495" s="22"/>
      <c r="E495" s="23"/>
      <c r="F495" s="23"/>
      <c r="G495" s="23"/>
    </row>
    <row r="496" spans="1:7" ht="15.75" customHeight="1">
      <c r="A496" s="24"/>
      <c r="B496" s="23"/>
      <c r="C496" s="23"/>
      <c r="D496" s="22"/>
      <c r="E496" s="23"/>
      <c r="F496" s="23"/>
      <c r="G496" s="23"/>
    </row>
    <row r="497" spans="1:7" ht="15.75" customHeight="1">
      <c r="A497" s="24"/>
      <c r="B497" s="23"/>
      <c r="C497" s="23"/>
      <c r="D497" s="22"/>
      <c r="E497" s="23"/>
      <c r="F497" s="23"/>
      <c r="G497" s="23"/>
    </row>
    <row r="498" spans="1:7" ht="15.75" customHeight="1">
      <c r="A498" s="24"/>
      <c r="B498" s="23"/>
      <c r="C498" s="23"/>
      <c r="D498" s="22"/>
      <c r="E498" s="23"/>
      <c r="F498" s="23"/>
      <c r="G498" s="23"/>
    </row>
    <row r="499" spans="1:7" ht="15.75" customHeight="1">
      <c r="A499" s="24"/>
      <c r="B499" s="23"/>
      <c r="C499" s="23"/>
      <c r="D499" s="22"/>
      <c r="E499" s="23"/>
      <c r="F499" s="23"/>
      <c r="G499" s="23"/>
    </row>
    <row r="500" spans="1:7" ht="15.75" customHeight="1">
      <c r="A500" s="24"/>
      <c r="B500" s="23"/>
      <c r="C500" s="23"/>
      <c r="D500" s="22"/>
      <c r="E500" s="23"/>
      <c r="F500" s="23"/>
      <c r="G500" s="23"/>
    </row>
    <row r="501" spans="1:7" ht="15.75" customHeight="1">
      <c r="A501" s="24"/>
      <c r="B501" s="23"/>
      <c r="C501" s="23"/>
      <c r="D501" s="22"/>
      <c r="E501" s="23"/>
      <c r="F501" s="23"/>
      <c r="G501" s="23"/>
    </row>
    <row r="502" spans="1:7" ht="15.75" customHeight="1">
      <c r="A502" s="24"/>
      <c r="B502" s="23"/>
      <c r="C502" s="23"/>
      <c r="D502" s="22"/>
      <c r="E502" s="23"/>
      <c r="F502" s="23"/>
      <c r="G502" s="23"/>
    </row>
    <row r="503" spans="1:7" ht="15.75" customHeight="1">
      <c r="A503" s="24"/>
      <c r="B503" s="23"/>
      <c r="C503" s="23"/>
      <c r="D503" s="22"/>
      <c r="E503" s="23"/>
      <c r="F503" s="23"/>
      <c r="G503" s="23"/>
    </row>
    <row r="504" spans="1:7" ht="15.75" customHeight="1">
      <c r="A504" s="24"/>
      <c r="B504" s="23"/>
      <c r="C504" s="23"/>
      <c r="D504" s="22"/>
      <c r="E504" s="23"/>
      <c r="F504" s="23"/>
      <c r="G504" s="23"/>
    </row>
    <row r="505" spans="1:7" ht="15.75" customHeight="1">
      <c r="A505" s="24"/>
      <c r="B505" s="23"/>
      <c r="C505" s="23"/>
      <c r="D505" s="22"/>
      <c r="E505" s="23"/>
      <c r="F505" s="23"/>
      <c r="G505" s="23"/>
    </row>
    <row r="506" spans="1:7" ht="15.75" customHeight="1">
      <c r="A506" s="24"/>
      <c r="B506" s="23"/>
      <c r="C506" s="23"/>
      <c r="D506" s="22"/>
      <c r="E506" s="23"/>
      <c r="F506" s="23"/>
      <c r="G506" s="23"/>
    </row>
    <row r="507" spans="1:7" ht="15.75" customHeight="1">
      <c r="A507" s="24"/>
      <c r="B507" s="23"/>
      <c r="C507" s="23"/>
      <c r="D507" s="22"/>
      <c r="E507" s="23"/>
      <c r="F507" s="23"/>
      <c r="G507" s="23"/>
    </row>
    <row r="508" spans="1:7" ht="15.75" customHeight="1">
      <c r="A508" s="24"/>
      <c r="B508" s="23"/>
      <c r="C508" s="23"/>
      <c r="D508" s="22"/>
      <c r="E508" s="23"/>
      <c r="F508" s="23"/>
      <c r="G508" s="23"/>
    </row>
    <row r="509" spans="1:7" ht="15.75" customHeight="1">
      <c r="A509" s="24"/>
      <c r="B509" s="23"/>
      <c r="C509" s="23"/>
      <c r="D509" s="22"/>
      <c r="E509" s="23"/>
      <c r="F509" s="23"/>
      <c r="G509" s="23"/>
    </row>
    <row r="510" spans="1:7" ht="15.75" customHeight="1">
      <c r="A510" s="24"/>
      <c r="B510" s="23"/>
      <c r="C510" s="23"/>
      <c r="D510" s="22"/>
      <c r="E510" s="23"/>
      <c r="F510" s="23"/>
      <c r="G510" s="23"/>
    </row>
    <row r="511" spans="1:7" ht="15.75" customHeight="1">
      <c r="A511" s="24"/>
      <c r="B511" s="23"/>
      <c r="C511" s="23"/>
      <c r="D511" s="22"/>
      <c r="E511" s="23"/>
      <c r="F511" s="23"/>
      <c r="G511" s="23"/>
    </row>
    <row r="512" spans="1:7" ht="15.75" customHeight="1">
      <c r="A512" s="24"/>
      <c r="B512" s="23"/>
      <c r="C512" s="23"/>
      <c r="D512" s="22"/>
      <c r="E512" s="23"/>
      <c r="F512" s="23"/>
      <c r="G512" s="23"/>
    </row>
    <row r="513" spans="1:7" ht="15.75" customHeight="1">
      <c r="A513" s="24"/>
      <c r="B513" s="23"/>
      <c r="C513" s="23"/>
      <c r="D513" s="22"/>
      <c r="E513" s="23"/>
      <c r="F513" s="23"/>
      <c r="G513" s="23"/>
    </row>
    <row r="514" spans="1:7" ht="15.75" customHeight="1">
      <c r="A514" s="24"/>
      <c r="B514" s="23"/>
      <c r="C514" s="23"/>
      <c r="D514" s="22"/>
      <c r="E514" s="23"/>
      <c r="F514" s="23"/>
      <c r="G514" s="23"/>
    </row>
    <row r="515" spans="1:7" ht="15.75" customHeight="1">
      <c r="A515" s="24"/>
      <c r="B515" s="23"/>
      <c r="C515" s="23"/>
      <c r="D515" s="22"/>
      <c r="E515" s="23"/>
      <c r="F515" s="23"/>
      <c r="G515" s="23"/>
    </row>
    <row r="516" spans="1:7" ht="15.75" customHeight="1">
      <c r="A516" s="24"/>
      <c r="B516" s="23"/>
      <c r="C516" s="23"/>
      <c r="D516" s="22"/>
      <c r="E516" s="23"/>
      <c r="F516" s="23"/>
      <c r="G516" s="23"/>
    </row>
    <row r="517" spans="1:7" ht="15.75" customHeight="1">
      <c r="A517" s="24"/>
      <c r="B517" s="23"/>
      <c r="C517" s="23"/>
      <c r="D517" s="22"/>
      <c r="E517" s="23"/>
      <c r="F517" s="23"/>
      <c r="G517" s="23"/>
    </row>
    <row r="518" spans="1:7" ht="15.75" customHeight="1">
      <c r="A518" s="24"/>
      <c r="B518" s="23"/>
      <c r="C518" s="23"/>
      <c r="D518" s="22"/>
      <c r="E518" s="23"/>
      <c r="F518" s="23"/>
      <c r="G518" s="23"/>
    </row>
    <row r="519" spans="1:7" ht="15.75" customHeight="1">
      <c r="A519" s="24"/>
      <c r="B519" s="23"/>
      <c r="C519" s="23"/>
      <c r="D519" s="22"/>
      <c r="E519" s="23"/>
      <c r="F519" s="23"/>
      <c r="G519" s="23"/>
    </row>
    <row r="520" spans="1:7" ht="15.75" customHeight="1">
      <c r="A520" s="24"/>
      <c r="B520" s="23"/>
      <c r="C520" s="23"/>
      <c r="D520" s="22"/>
      <c r="E520" s="23"/>
      <c r="F520" s="23"/>
      <c r="G520" s="23"/>
    </row>
    <row r="521" spans="1:7" ht="15.75" customHeight="1">
      <c r="A521" s="24"/>
      <c r="B521" s="23"/>
      <c r="C521" s="23"/>
      <c r="D521" s="22"/>
      <c r="E521" s="23"/>
      <c r="F521" s="23"/>
      <c r="G521" s="23"/>
    </row>
    <row r="522" spans="1:7" ht="15.75" customHeight="1">
      <c r="A522" s="24"/>
      <c r="B522" s="23"/>
      <c r="C522" s="23"/>
      <c r="D522" s="22"/>
      <c r="E522" s="23"/>
      <c r="F522" s="23"/>
      <c r="G522" s="23"/>
    </row>
    <row r="523" spans="1:7" ht="15.75" customHeight="1">
      <c r="A523" s="24"/>
      <c r="B523" s="23"/>
      <c r="C523" s="23"/>
      <c r="D523" s="22"/>
      <c r="E523" s="23"/>
      <c r="F523" s="23"/>
      <c r="G523" s="23"/>
    </row>
    <row r="524" spans="1:7" ht="15.75" customHeight="1">
      <c r="A524" s="24"/>
      <c r="B524" s="23"/>
      <c r="C524" s="23"/>
      <c r="D524" s="22"/>
      <c r="E524" s="23"/>
      <c r="F524" s="23"/>
      <c r="G524" s="23"/>
    </row>
    <row r="525" spans="1:7" ht="15.75" customHeight="1">
      <c r="A525" s="24"/>
      <c r="B525" s="23"/>
      <c r="C525" s="23"/>
      <c r="D525" s="22"/>
      <c r="E525" s="23"/>
      <c r="F525" s="23"/>
      <c r="G525" s="23"/>
    </row>
    <row r="526" spans="1:7" ht="15.75" customHeight="1">
      <c r="A526" s="24"/>
      <c r="B526" s="23"/>
      <c r="C526" s="23"/>
      <c r="D526" s="22"/>
      <c r="E526" s="23"/>
      <c r="F526" s="23"/>
      <c r="G526" s="23"/>
    </row>
    <row r="527" spans="1:7" ht="15.75" customHeight="1">
      <c r="A527" s="24"/>
      <c r="B527" s="23"/>
      <c r="C527" s="23"/>
      <c r="D527" s="22"/>
      <c r="E527" s="23"/>
      <c r="F527" s="23"/>
      <c r="G527" s="23"/>
    </row>
    <row r="528" spans="1:7" ht="15.75" customHeight="1">
      <c r="A528" s="24"/>
      <c r="B528" s="23"/>
      <c r="C528" s="23"/>
      <c r="D528" s="22"/>
      <c r="E528" s="23"/>
      <c r="F528" s="23"/>
      <c r="G528" s="23"/>
    </row>
    <row r="529" spans="1:7" ht="15.75" customHeight="1">
      <c r="A529" s="24"/>
      <c r="B529" s="23"/>
      <c r="C529" s="23"/>
      <c r="D529" s="22"/>
      <c r="E529" s="23"/>
      <c r="F529" s="23"/>
      <c r="G529" s="23"/>
    </row>
    <row r="530" spans="1:7" ht="15.75" customHeight="1">
      <c r="A530" s="24"/>
      <c r="B530" s="23"/>
      <c r="C530" s="23"/>
      <c r="D530" s="22"/>
      <c r="E530" s="23"/>
      <c r="F530" s="23"/>
      <c r="G530" s="23"/>
    </row>
    <row r="531" spans="1:7" ht="15.75" customHeight="1">
      <c r="A531" s="24"/>
      <c r="B531" s="23"/>
      <c r="C531" s="23"/>
      <c r="D531" s="22"/>
      <c r="E531" s="23"/>
      <c r="F531" s="23"/>
      <c r="G531" s="23"/>
    </row>
    <row r="532" spans="1:7" ht="15.75" customHeight="1">
      <c r="A532" s="24"/>
      <c r="B532" s="23"/>
      <c r="C532" s="23"/>
      <c r="D532" s="22"/>
      <c r="E532" s="23"/>
      <c r="F532" s="23"/>
      <c r="G532" s="23"/>
    </row>
    <row r="533" spans="1:7" ht="15.75" customHeight="1">
      <c r="A533" s="24"/>
      <c r="B533" s="23"/>
      <c r="C533" s="23"/>
      <c r="D533" s="22"/>
      <c r="E533" s="23"/>
      <c r="F533" s="23"/>
      <c r="G533" s="23"/>
    </row>
    <row r="534" spans="1:7" ht="15.75" customHeight="1">
      <c r="A534" s="24"/>
      <c r="B534" s="23"/>
      <c r="C534" s="23"/>
      <c r="D534" s="22"/>
      <c r="E534" s="23"/>
      <c r="F534" s="23"/>
      <c r="G534" s="23"/>
    </row>
    <row r="535" spans="1:7" ht="15.75" customHeight="1">
      <c r="A535" s="24"/>
      <c r="B535" s="23"/>
      <c r="C535" s="23"/>
      <c r="D535" s="22"/>
      <c r="E535" s="23"/>
      <c r="F535" s="23"/>
      <c r="G535" s="23"/>
    </row>
    <row r="536" spans="1:7" ht="15.75" customHeight="1">
      <c r="A536" s="24"/>
      <c r="B536" s="23"/>
      <c r="C536" s="23"/>
      <c r="D536" s="22"/>
      <c r="E536" s="23"/>
      <c r="F536" s="23"/>
      <c r="G536" s="23"/>
    </row>
    <row r="537" spans="1:7" ht="15.75" customHeight="1">
      <c r="A537" s="24"/>
      <c r="B537" s="23"/>
      <c r="C537" s="23"/>
      <c r="D537" s="22"/>
      <c r="E537" s="23"/>
      <c r="F537" s="23"/>
      <c r="G537" s="23"/>
    </row>
    <row r="538" spans="1:7" ht="15.75" customHeight="1">
      <c r="A538" s="24"/>
      <c r="B538" s="23"/>
      <c r="C538" s="23"/>
      <c r="D538" s="22"/>
      <c r="E538" s="23"/>
      <c r="F538" s="23"/>
      <c r="G538" s="23"/>
    </row>
    <row r="539" spans="1:7" ht="15.75" customHeight="1">
      <c r="A539" s="24"/>
      <c r="B539" s="23"/>
      <c r="C539" s="23"/>
      <c r="D539" s="22"/>
      <c r="E539" s="23"/>
      <c r="F539" s="23"/>
      <c r="G539" s="23"/>
    </row>
    <row r="540" spans="1:7" ht="15.75" customHeight="1">
      <c r="A540" s="24"/>
      <c r="B540" s="23"/>
      <c r="C540" s="23"/>
      <c r="D540" s="22"/>
      <c r="E540" s="23"/>
      <c r="F540" s="23"/>
      <c r="G540" s="23"/>
    </row>
    <row r="541" spans="1:7" ht="15.75" customHeight="1">
      <c r="A541" s="24"/>
      <c r="B541" s="23"/>
      <c r="C541" s="23"/>
      <c r="D541" s="22"/>
      <c r="E541" s="23"/>
      <c r="F541" s="23"/>
      <c r="G541" s="23"/>
    </row>
    <row r="542" spans="1:7" ht="15.75" customHeight="1">
      <c r="A542" s="24"/>
      <c r="B542" s="23"/>
      <c r="C542" s="23"/>
      <c r="D542" s="22"/>
      <c r="E542" s="23"/>
      <c r="F542" s="23"/>
      <c r="G542" s="23"/>
    </row>
    <row r="543" spans="1:7" ht="15.75" customHeight="1">
      <c r="A543" s="24"/>
      <c r="B543" s="23"/>
      <c r="C543" s="23"/>
      <c r="D543" s="22"/>
      <c r="E543" s="23"/>
      <c r="F543" s="23"/>
      <c r="G543" s="23"/>
    </row>
    <row r="544" spans="1:7" ht="15.75" customHeight="1">
      <c r="A544" s="24"/>
      <c r="B544" s="23"/>
      <c r="C544" s="23"/>
      <c r="D544" s="22"/>
      <c r="E544" s="23"/>
      <c r="F544" s="23"/>
      <c r="G544" s="23"/>
    </row>
    <row r="545" spans="1:7" ht="15.75" customHeight="1">
      <c r="A545" s="24"/>
      <c r="B545" s="23"/>
      <c r="C545" s="23"/>
      <c r="D545" s="22"/>
      <c r="E545" s="23"/>
      <c r="F545" s="23"/>
      <c r="G545" s="23"/>
    </row>
    <row r="546" spans="1:7" ht="15.75" customHeight="1">
      <c r="A546" s="24"/>
      <c r="B546" s="23"/>
      <c r="C546" s="23"/>
      <c r="D546" s="22"/>
      <c r="E546" s="23"/>
      <c r="F546" s="23"/>
      <c r="G546" s="23"/>
    </row>
    <row r="547" spans="1:7" ht="15.75" customHeight="1">
      <c r="A547" s="24"/>
      <c r="B547" s="23"/>
      <c r="C547" s="23"/>
      <c r="D547" s="22"/>
      <c r="E547" s="23"/>
      <c r="F547" s="23"/>
      <c r="G547" s="23"/>
    </row>
    <row r="548" spans="1:7" ht="15.75" customHeight="1">
      <c r="A548" s="24"/>
      <c r="B548" s="23"/>
      <c r="C548" s="23"/>
      <c r="D548" s="22"/>
      <c r="E548" s="23"/>
      <c r="F548" s="23"/>
      <c r="G548" s="23"/>
    </row>
    <row r="549" spans="1:7" ht="15.75" customHeight="1">
      <c r="A549" s="24"/>
      <c r="B549" s="23"/>
      <c r="C549" s="23"/>
      <c r="D549" s="22"/>
      <c r="E549" s="23"/>
      <c r="F549" s="23"/>
      <c r="G549" s="23"/>
    </row>
    <row r="550" spans="1:7" ht="15.75" customHeight="1">
      <c r="A550" s="24"/>
      <c r="B550" s="23"/>
      <c r="C550" s="23"/>
      <c r="D550" s="22"/>
      <c r="E550" s="23"/>
      <c r="F550" s="23"/>
      <c r="G550" s="23"/>
    </row>
    <row r="551" spans="1:7" ht="15.75" customHeight="1">
      <c r="A551" s="24"/>
      <c r="B551" s="23"/>
      <c r="C551" s="23"/>
      <c r="D551" s="22"/>
      <c r="E551" s="23"/>
      <c r="F551" s="23"/>
      <c r="G551" s="23"/>
    </row>
    <row r="552" spans="1:7" ht="15.75" customHeight="1">
      <c r="A552" s="24"/>
      <c r="B552" s="23"/>
      <c r="C552" s="23"/>
      <c r="D552" s="22"/>
      <c r="E552" s="23"/>
      <c r="F552" s="23"/>
      <c r="G552" s="23"/>
    </row>
    <row r="553" spans="1:7" ht="15.75" customHeight="1">
      <c r="A553" s="24"/>
      <c r="B553" s="23"/>
      <c r="C553" s="23"/>
      <c r="D553" s="22"/>
      <c r="E553" s="23"/>
      <c r="F553" s="23"/>
      <c r="G553" s="23"/>
    </row>
    <row r="554" spans="1:7" ht="15.75" customHeight="1">
      <c r="A554" s="24"/>
      <c r="B554" s="23"/>
      <c r="C554" s="23"/>
      <c r="D554" s="22"/>
      <c r="E554" s="23"/>
      <c r="F554" s="23"/>
      <c r="G554" s="23"/>
    </row>
    <row r="555" spans="1:7" ht="15.75" customHeight="1">
      <c r="A555" s="24"/>
      <c r="B555" s="23"/>
      <c r="C555" s="23"/>
      <c r="D555" s="22"/>
      <c r="E555" s="23"/>
      <c r="F555" s="23"/>
      <c r="G555" s="23"/>
    </row>
    <row r="556" spans="1:7" ht="15.75" customHeight="1">
      <c r="A556" s="24"/>
      <c r="B556" s="23"/>
      <c r="C556" s="23"/>
      <c r="D556" s="22"/>
      <c r="E556" s="23"/>
      <c r="F556" s="23"/>
      <c r="G556" s="23"/>
    </row>
    <row r="557" spans="1:7" ht="15.75" customHeight="1">
      <c r="A557" s="24"/>
      <c r="B557" s="23"/>
      <c r="C557" s="23"/>
      <c r="D557" s="22"/>
      <c r="E557" s="23"/>
      <c r="F557" s="23"/>
      <c r="G557" s="23"/>
    </row>
    <row r="558" spans="1:7" ht="15.75" customHeight="1">
      <c r="A558" s="24"/>
      <c r="B558" s="23"/>
      <c r="C558" s="23"/>
      <c r="D558" s="22"/>
      <c r="E558" s="23"/>
      <c r="F558" s="23"/>
      <c r="G558" s="23"/>
    </row>
    <row r="559" spans="1:7" ht="15.75" customHeight="1">
      <c r="A559" s="24"/>
      <c r="B559" s="23"/>
      <c r="C559" s="23"/>
      <c r="D559" s="22"/>
      <c r="E559" s="23"/>
      <c r="F559" s="23"/>
      <c r="G559" s="23"/>
    </row>
    <row r="560" spans="1:7" ht="15.75" customHeight="1">
      <c r="A560" s="24"/>
      <c r="B560" s="23"/>
      <c r="C560" s="23"/>
      <c r="D560" s="22"/>
      <c r="E560" s="23"/>
      <c r="F560" s="23"/>
      <c r="G560" s="23"/>
    </row>
    <row r="561" spans="1:7" ht="15.75" customHeight="1">
      <c r="A561" s="24"/>
      <c r="B561" s="23"/>
      <c r="C561" s="23"/>
      <c r="D561" s="22"/>
      <c r="E561" s="23"/>
      <c r="F561" s="23"/>
      <c r="G561" s="23"/>
    </row>
    <row r="562" spans="1:7" ht="15.75" customHeight="1">
      <c r="A562" s="24"/>
      <c r="B562" s="23"/>
      <c r="C562" s="23"/>
      <c r="D562" s="22"/>
      <c r="E562" s="23"/>
      <c r="F562" s="23"/>
      <c r="G562" s="23"/>
    </row>
    <row r="563" spans="1:7" ht="15.75" customHeight="1">
      <c r="A563" s="24"/>
      <c r="B563" s="23"/>
      <c r="C563" s="23"/>
      <c r="D563" s="22"/>
      <c r="E563" s="23"/>
      <c r="F563" s="23"/>
      <c r="G563" s="23"/>
    </row>
    <row r="564" spans="1:7" ht="15.75" customHeight="1">
      <c r="A564" s="24"/>
      <c r="B564" s="23"/>
      <c r="C564" s="23"/>
      <c r="D564" s="22"/>
      <c r="E564" s="23"/>
      <c r="F564" s="23"/>
      <c r="G564" s="23"/>
    </row>
    <row r="565" spans="1:7" ht="15.75" customHeight="1">
      <c r="A565" s="24"/>
      <c r="B565" s="23"/>
      <c r="C565" s="23"/>
      <c r="D565" s="22"/>
      <c r="E565" s="23"/>
      <c r="F565" s="23"/>
      <c r="G565" s="23"/>
    </row>
    <row r="566" spans="1:7" ht="15.75" customHeight="1">
      <c r="A566" s="24"/>
      <c r="B566" s="23"/>
      <c r="C566" s="23"/>
      <c r="D566" s="22"/>
      <c r="E566" s="23"/>
      <c r="F566" s="23"/>
      <c r="G566" s="23"/>
    </row>
    <row r="567" spans="1:7" ht="15.75" customHeight="1">
      <c r="A567" s="24"/>
      <c r="B567" s="23"/>
      <c r="C567" s="23"/>
      <c r="D567" s="22"/>
      <c r="E567" s="23"/>
      <c r="F567" s="23"/>
      <c r="G567" s="23"/>
    </row>
    <row r="568" spans="1:7" ht="15.75" customHeight="1">
      <c r="A568" s="24"/>
      <c r="B568" s="23"/>
      <c r="C568" s="23"/>
      <c r="D568" s="22"/>
      <c r="E568" s="23"/>
      <c r="F568" s="23"/>
      <c r="G568" s="23"/>
    </row>
    <row r="569" spans="1:7" ht="15.75" customHeight="1">
      <c r="A569" s="24"/>
      <c r="B569" s="23"/>
      <c r="C569" s="23"/>
      <c r="D569" s="22"/>
      <c r="E569" s="23"/>
      <c r="F569" s="23"/>
      <c r="G569" s="23"/>
    </row>
    <row r="570" spans="1:7" ht="15.75" customHeight="1">
      <c r="A570" s="24"/>
      <c r="B570" s="23"/>
      <c r="C570" s="23"/>
      <c r="D570" s="22"/>
      <c r="E570" s="23"/>
      <c r="F570" s="23"/>
      <c r="G570" s="23"/>
    </row>
    <row r="571" spans="1:7" ht="15.75" customHeight="1">
      <c r="A571" s="24"/>
      <c r="B571" s="23"/>
      <c r="C571" s="23"/>
      <c r="D571" s="22"/>
      <c r="E571" s="23"/>
      <c r="F571" s="23"/>
      <c r="G571" s="23"/>
    </row>
    <row r="572" spans="1:7" ht="15.75" customHeight="1">
      <c r="A572" s="24"/>
      <c r="B572" s="23"/>
      <c r="C572" s="23"/>
      <c r="D572" s="22"/>
      <c r="E572" s="23"/>
      <c r="F572" s="23"/>
      <c r="G572" s="23"/>
    </row>
    <row r="573" spans="1:7" ht="15.75" customHeight="1">
      <c r="A573" s="24"/>
      <c r="B573" s="23"/>
      <c r="C573" s="23"/>
      <c r="D573" s="22"/>
      <c r="E573" s="23"/>
      <c r="F573" s="23"/>
      <c r="G573" s="2"/>
    </row>
    <row r="574" spans="1:7" ht="15.75" customHeight="1">
      <c r="A574" s="24"/>
      <c r="B574" s="23"/>
      <c r="C574" s="23"/>
      <c r="D574" s="22"/>
      <c r="E574" s="23"/>
      <c r="F574" s="23"/>
      <c r="G574" s="2"/>
    </row>
    <row r="575" spans="1:7" ht="15.75" customHeight="1">
      <c r="A575" s="24"/>
      <c r="B575" s="23"/>
      <c r="C575" s="23"/>
      <c r="D575" s="22"/>
      <c r="E575" s="23"/>
      <c r="F575" s="23"/>
      <c r="G575" s="2"/>
    </row>
    <row r="576" spans="1:7" ht="15.75" customHeight="1">
      <c r="A576" s="24"/>
      <c r="B576" s="23"/>
      <c r="C576" s="23"/>
      <c r="D576" s="22"/>
      <c r="E576" s="23"/>
      <c r="F576" s="23"/>
      <c r="G576" s="2"/>
    </row>
    <row r="577" spans="1:7" ht="15.75" customHeight="1">
      <c r="A577" s="24"/>
      <c r="B577" s="23"/>
      <c r="C577" s="23"/>
      <c r="D577" s="22"/>
      <c r="E577" s="23"/>
      <c r="F577" s="23"/>
      <c r="G577" s="2"/>
    </row>
    <row r="578" spans="1:7" ht="15.75" customHeight="1">
      <c r="A578" s="24"/>
      <c r="B578" s="23"/>
      <c r="C578" s="23"/>
      <c r="D578" s="22"/>
      <c r="E578" s="23"/>
      <c r="F578" s="23"/>
      <c r="G578" s="2"/>
    </row>
    <row r="579" spans="1:7" ht="15.75" customHeight="1">
      <c r="A579" s="24"/>
      <c r="B579" s="23"/>
      <c r="C579" s="23"/>
      <c r="D579" s="22"/>
      <c r="E579" s="23"/>
      <c r="F579" s="23"/>
      <c r="G579" s="2"/>
    </row>
    <row r="580" spans="1:7" ht="15.75" customHeight="1">
      <c r="A580" s="24"/>
      <c r="B580" s="23"/>
      <c r="C580" s="23"/>
      <c r="D580" s="22"/>
      <c r="E580" s="23"/>
      <c r="F580" s="23"/>
      <c r="G580" s="2"/>
    </row>
    <row r="581" spans="1:7" ht="15.75" customHeight="1">
      <c r="A581" s="24"/>
      <c r="B581" s="23"/>
      <c r="C581" s="23"/>
      <c r="D581" s="22"/>
      <c r="E581" s="23"/>
      <c r="F581" s="23"/>
      <c r="G581" s="2"/>
    </row>
    <row r="582" spans="1:7" ht="15.75" customHeight="1">
      <c r="A582" s="24"/>
      <c r="B582" s="23"/>
      <c r="C582" s="23"/>
      <c r="D582" s="22"/>
      <c r="E582" s="23"/>
      <c r="F582" s="23"/>
      <c r="G582" s="2"/>
    </row>
    <row r="583" spans="1:7" ht="15.75" customHeight="1">
      <c r="A583" s="24"/>
      <c r="B583" s="23"/>
      <c r="C583" s="23"/>
      <c r="D583" s="22"/>
      <c r="E583" s="23"/>
      <c r="F583" s="23"/>
      <c r="G583" s="2"/>
    </row>
    <row r="584" spans="1:7" ht="15.75" customHeight="1">
      <c r="A584" s="24"/>
      <c r="B584" s="23"/>
      <c r="C584" s="23"/>
      <c r="D584" s="22"/>
      <c r="E584" s="23"/>
      <c r="F584" s="23"/>
      <c r="G584" s="2"/>
    </row>
    <row r="585" spans="1:7" ht="15.75" customHeight="1">
      <c r="A585" s="24"/>
      <c r="B585" s="23"/>
      <c r="C585" s="23"/>
      <c r="D585" s="22"/>
      <c r="E585" s="23"/>
      <c r="F585" s="23"/>
      <c r="G585" s="2"/>
    </row>
    <row r="586" spans="1:7" ht="15.75" customHeight="1">
      <c r="A586" s="24"/>
      <c r="B586" s="23"/>
      <c r="C586" s="23"/>
      <c r="D586" s="22"/>
      <c r="E586" s="23"/>
      <c r="F586" s="23"/>
      <c r="G586" s="2"/>
    </row>
    <row r="587" spans="1:7" ht="15.75" customHeight="1">
      <c r="A587" s="24"/>
      <c r="B587" s="23"/>
      <c r="C587" s="23"/>
      <c r="D587" s="22"/>
      <c r="E587" s="23"/>
      <c r="F587" s="23"/>
      <c r="G587" s="2"/>
    </row>
    <row r="588" spans="1:7" ht="15.75" customHeight="1">
      <c r="A588" s="24"/>
      <c r="B588" s="23"/>
      <c r="C588" s="23"/>
      <c r="D588" s="22"/>
      <c r="E588" s="23"/>
      <c r="F588" s="23"/>
      <c r="G588" s="2"/>
    </row>
    <row r="589" spans="1:7" ht="15.75" customHeight="1">
      <c r="A589" s="24"/>
      <c r="B589" s="23"/>
      <c r="C589" s="23"/>
      <c r="D589" s="22"/>
      <c r="E589" s="23"/>
      <c r="F589" s="23"/>
      <c r="G589" s="2"/>
    </row>
    <row r="590" spans="1:7" ht="15.75" customHeight="1">
      <c r="A590" s="24"/>
      <c r="B590" s="23"/>
      <c r="C590" s="23"/>
      <c r="D590" s="22"/>
      <c r="E590" s="23"/>
      <c r="F590" s="23"/>
      <c r="G590" s="2"/>
    </row>
    <row r="591" spans="1:7" ht="15.75" customHeight="1">
      <c r="A591" s="24"/>
      <c r="B591" s="23"/>
      <c r="C591" s="23"/>
      <c r="D591" s="22"/>
      <c r="E591" s="23"/>
      <c r="F591" s="23"/>
      <c r="G591" s="2"/>
    </row>
    <row r="592" spans="1:7" ht="15.75" customHeight="1">
      <c r="A592" s="24"/>
      <c r="B592" s="23"/>
      <c r="C592" s="23"/>
      <c r="D592" s="22"/>
      <c r="E592" s="23"/>
      <c r="F592" s="23"/>
      <c r="G592" s="2"/>
    </row>
    <row r="593" spans="1:7" ht="15.75" customHeight="1">
      <c r="A593" s="24"/>
      <c r="B593" s="23"/>
      <c r="C593" s="23"/>
      <c r="D593" s="22"/>
      <c r="E593" s="23"/>
      <c r="F593" s="23"/>
      <c r="G593" s="2"/>
    </row>
    <row r="594" spans="1:7" ht="15.75" customHeight="1">
      <c r="A594" s="24"/>
      <c r="B594" s="23"/>
      <c r="C594" s="23"/>
      <c r="D594" s="22"/>
      <c r="E594" s="23"/>
      <c r="F594" s="23"/>
      <c r="G594" s="2"/>
    </row>
    <row r="595" spans="1:7" ht="15.75" customHeight="1">
      <c r="A595" s="24"/>
      <c r="B595" s="23"/>
      <c r="C595" s="23"/>
      <c r="D595" s="22"/>
      <c r="E595" s="23"/>
      <c r="F595" s="23"/>
      <c r="G595" s="2"/>
    </row>
    <row r="596" spans="1:7" ht="15.75" customHeight="1">
      <c r="A596" s="24"/>
      <c r="B596" s="23"/>
      <c r="C596" s="23"/>
      <c r="D596" s="22"/>
      <c r="E596" s="23"/>
      <c r="F596" s="23"/>
      <c r="G596" s="2"/>
    </row>
    <row r="597" spans="1:7" ht="15.75" customHeight="1">
      <c r="A597" s="24"/>
      <c r="B597" s="23"/>
      <c r="C597" s="23"/>
      <c r="D597" s="22"/>
      <c r="E597" s="23"/>
      <c r="F597" s="23"/>
      <c r="G597" s="2"/>
    </row>
    <row r="598" spans="1:7" ht="15.75" customHeight="1">
      <c r="A598" s="24"/>
      <c r="B598" s="23"/>
      <c r="C598" s="23"/>
      <c r="D598" s="22"/>
      <c r="E598" s="23"/>
      <c r="F598" s="23"/>
      <c r="G598" s="2"/>
    </row>
    <row r="599" spans="1:7" ht="15.75" customHeight="1">
      <c r="A599" s="24"/>
      <c r="B599" s="23"/>
      <c r="C599" s="23"/>
      <c r="D599" s="22"/>
      <c r="E599" s="23"/>
      <c r="F599" s="23"/>
      <c r="G599" s="2"/>
    </row>
    <row r="600" spans="1:7" ht="15.75" customHeight="1">
      <c r="A600" s="24"/>
      <c r="B600" s="23"/>
      <c r="C600" s="23"/>
      <c r="D600" s="22"/>
      <c r="E600" s="23"/>
      <c r="F600" s="23"/>
      <c r="G600" s="2"/>
    </row>
    <row r="601" spans="1:7" ht="15.75" customHeight="1">
      <c r="A601" s="24"/>
      <c r="B601" s="23"/>
      <c r="C601" s="23"/>
      <c r="D601" s="22"/>
      <c r="E601" s="23"/>
      <c r="F601" s="23"/>
      <c r="G601" s="2"/>
    </row>
    <row r="602" spans="1:7" ht="15.75" customHeight="1">
      <c r="A602" s="24"/>
      <c r="B602" s="23"/>
      <c r="C602" s="23"/>
      <c r="D602" s="22"/>
      <c r="E602" s="23"/>
      <c r="F602" s="23"/>
      <c r="G602" s="2"/>
    </row>
    <row r="603" spans="1:7" ht="15.75" customHeight="1">
      <c r="A603" s="24"/>
      <c r="B603" s="23"/>
      <c r="C603" s="23"/>
      <c r="D603" s="22"/>
      <c r="E603" s="23"/>
      <c r="F603" s="23"/>
      <c r="G603" s="2"/>
    </row>
    <row r="604" spans="1:7" ht="15.75" customHeight="1">
      <c r="A604" s="24"/>
      <c r="B604" s="23"/>
      <c r="C604" s="23"/>
      <c r="D604" s="22"/>
      <c r="E604" s="23"/>
      <c r="F604" s="23"/>
      <c r="G604" s="2"/>
    </row>
    <row r="605" spans="1:7" ht="15.75" customHeight="1">
      <c r="A605" s="24"/>
      <c r="B605" s="23"/>
      <c r="C605" s="23"/>
      <c r="D605" s="22"/>
      <c r="E605" s="23"/>
      <c r="F605" s="23"/>
      <c r="G605" s="2"/>
    </row>
    <row r="606" spans="1:7" ht="15.75" customHeight="1">
      <c r="A606" s="24"/>
      <c r="B606" s="23"/>
      <c r="C606" s="23"/>
      <c r="D606" s="22"/>
      <c r="E606" s="23"/>
      <c r="F606" s="23"/>
      <c r="G606" s="2"/>
    </row>
    <row r="607" spans="1:7" ht="15.75" customHeight="1">
      <c r="A607" s="24"/>
      <c r="B607" s="23"/>
      <c r="C607" s="23"/>
      <c r="D607" s="22"/>
      <c r="E607" s="23"/>
      <c r="F607" s="23"/>
      <c r="G607" s="2"/>
    </row>
    <row r="608" spans="1:7" ht="15.75" customHeight="1">
      <c r="A608" s="24"/>
      <c r="B608" s="23"/>
      <c r="C608" s="23"/>
      <c r="D608" s="22"/>
      <c r="E608" s="23"/>
      <c r="F608" s="23"/>
      <c r="G608" s="2"/>
    </row>
    <row r="609" spans="1:7" ht="15.75" customHeight="1">
      <c r="A609" s="24"/>
      <c r="B609" s="23"/>
      <c r="C609" s="23"/>
      <c r="D609" s="22"/>
      <c r="E609" s="23"/>
      <c r="F609" s="23"/>
      <c r="G609" s="2"/>
    </row>
    <row r="610" spans="1:7" ht="15.75" customHeight="1">
      <c r="A610" s="24"/>
      <c r="B610" s="23"/>
      <c r="C610" s="23"/>
      <c r="D610" s="22"/>
      <c r="E610" s="23"/>
      <c r="F610" s="23"/>
      <c r="G610" s="2"/>
    </row>
    <row r="611" spans="1:7" ht="15.75" customHeight="1">
      <c r="A611" s="24"/>
      <c r="B611" s="23"/>
      <c r="C611" s="23"/>
      <c r="D611" s="22"/>
      <c r="E611" s="23"/>
      <c r="F611" s="23"/>
      <c r="G611" s="2"/>
    </row>
    <row r="612" spans="1:7" ht="15.75" customHeight="1">
      <c r="A612" s="24"/>
      <c r="B612" s="23"/>
      <c r="C612" s="23"/>
      <c r="D612" s="22"/>
      <c r="E612" s="23"/>
      <c r="F612" s="23"/>
      <c r="G612" s="2"/>
    </row>
    <row r="613" spans="1:7" ht="15.75" customHeight="1">
      <c r="A613" s="24"/>
      <c r="B613" s="23"/>
      <c r="C613" s="23"/>
      <c r="D613" s="22"/>
      <c r="E613" s="23"/>
      <c r="F613" s="23"/>
      <c r="G613" s="2"/>
    </row>
    <row r="614" spans="1:7" ht="15.75" customHeight="1">
      <c r="A614" s="24"/>
      <c r="B614" s="23"/>
      <c r="C614" s="23"/>
      <c r="D614" s="22"/>
      <c r="E614" s="23"/>
      <c r="F614" s="23"/>
      <c r="G614" s="2"/>
    </row>
    <row r="615" spans="1:7" ht="15.75" customHeight="1">
      <c r="A615" s="24"/>
      <c r="B615" s="23"/>
      <c r="C615" s="23"/>
      <c r="D615" s="22"/>
      <c r="E615" s="23"/>
      <c r="F615" s="23"/>
      <c r="G615" s="2"/>
    </row>
    <row r="616" spans="1:7" ht="15.75" customHeight="1">
      <c r="A616" s="24"/>
      <c r="B616" s="23"/>
      <c r="C616" s="23"/>
      <c r="D616" s="22"/>
      <c r="E616" s="23"/>
      <c r="F616" s="23"/>
      <c r="G616" s="2"/>
    </row>
    <row r="617" spans="1:7" ht="15.75" customHeight="1">
      <c r="A617" s="24"/>
      <c r="B617" s="23"/>
      <c r="C617" s="23"/>
      <c r="D617" s="22"/>
      <c r="E617" s="23"/>
      <c r="F617" s="23"/>
      <c r="G617" s="2"/>
    </row>
    <row r="618" spans="1:7" ht="15.75" customHeight="1">
      <c r="A618" s="24"/>
      <c r="B618" s="23"/>
      <c r="C618" s="23"/>
      <c r="D618" s="22"/>
      <c r="E618" s="23"/>
      <c r="F618" s="23"/>
      <c r="G618" s="2"/>
    </row>
    <row r="619" spans="1:7" ht="15.75" customHeight="1">
      <c r="A619" s="24"/>
      <c r="B619" s="23"/>
      <c r="C619" s="23"/>
      <c r="D619" s="22"/>
      <c r="E619" s="23"/>
      <c r="F619" s="23"/>
      <c r="G619" s="2"/>
    </row>
    <row r="620" spans="1:7" ht="15.75" customHeight="1">
      <c r="A620" s="24"/>
      <c r="B620" s="23"/>
      <c r="C620" s="23"/>
      <c r="D620" s="22"/>
      <c r="E620" s="23"/>
      <c r="F620" s="23"/>
      <c r="G620" s="2"/>
    </row>
    <row r="621" spans="1:7" ht="15.75" customHeight="1">
      <c r="A621" s="24"/>
      <c r="B621" s="23"/>
      <c r="C621" s="23"/>
      <c r="D621" s="22"/>
      <c r="E621" s="23"/>
      <c r="F621" s="23"/>
      <c r="G621" s="2"/>
    </row>
    <row r="622" spans="1:7" ht="15.75" customHeight="1">
      <c r="A622" s="24"/>
      <c r="B622" s="23"/>
      <c r="C622" s="23"/>
      <c r="D622" s="22"/>
      <c r="E622" s="23"/>
      <c r="F622" s="23"/>
      <c r="G622" s="2"/>
    </row>
    <row r="623" spans="1:7" ht="15.75" customHeight="1">
      <c r="A623" s="24"/>
      <c r="B623" s="23"/>
      <c r="C623" s="23"/>
      <c r="D623" s="22"/>
      <c r="E623" s="23"/>
      <c r="F623" s="23"/>
      <c r="G623" s="2"/>
    </row>
    <row r="624" spans="1:7" ht="15.75" customHeight="1">
      <c r="A624" s="24"/>
      <c r="B624" s="23"/>
      <c r="C624" s="23"/>
      <c r="D624" s="22"/>
      <c r="E624" s="23"/>
      <c r="F624" s="23"/>
      <c r="G624" s="2"/>
    </row>
    <row r="625" spans="1:7" ht="15.75" customHeight="1">
      <c r="A625" s="24"/>
      <c r="B625" s="23"/>
      <c r="C625" s="23"/>
      <c r="D625" s="22"/>
      <c r="E625" s="23"/>
      <c r="F625" s="23"/>
      <c r="G625" s="2"/>
    </row>
    <row r="626" spans="1:7" ht="15.75" customHeight="1">
      <c r="A626" s="24"/>
      <c r="B626" s="23"/>
      <c r="C626" s="23"/>
      <c r="D626" s="22"/>
      <c r="E626" s="23"/>
      <c r="F626" s="23"/>
      <c r="G626" s="2"/>
    </row>
    <row r="627" spans="1:7" ht="15.75" customHeight="1">
      <c r="A627" s="24"/>
      <c r="B627" s="23"/>
      <c r="C627" s="23"/>
      <c r="D627" s="22"/>
      <c r="E627" s="23"/>
      <c r="F627" s="23"/>
      <c r="G627" s="2"/>
    </row>
    <row r="628" spans="1:7" ht="15.75" customHeight="1">
      <c r="A628" s="24"/>
      <c r="B628" s="23"/>
      <c r="C628" s="23"/>
      <c r="D628" s="22"/>
      <c r="E628" s="23"/>
      <c r="F628" s="23"/>
      <c r="G628" s="2"/>
    </row>
    <row r="629" spans="1:7" ht="15.75" customHeight="1">
      <c r="A629" s="24"/>
      <c r="B629" s="23"/>
      <c r="C629" s="23"/>
      <c r="D629" s="22"/>
      <c r="E629" s="23"/>
      <c r="F629" s="23"/>
      <c r="G629" s="2"/>
    </row>
    <row r="630" spans="1:7" ht="15.75" customHeight="1">
      <c r="A630" s="24"/>
      <c r="B630" s="23"/>
      <c r="C630" s="23"/>
      <c r="D630" s="22"/>
      <c r="E630" s="23"/>
      <c r="F630" s="23"/>
      <c r="G630" s="2"/>
    </row>
    <row r="631" spans="1:7" ht="15.75" customHeight="1">
      <c r="A631" s="24"/>
      <c r="B631" s="23"/>
      <c r="C631" s="23"/>
      <c r="D631" s="22"/>
      <c r="E631" s="23"/>
      <c r="F631" s="23"/>
      <c r="G631" s="2"/>
    </row>
    <row r="632" spans="1:7" ht="15.75" customHeight="1">
      <c r="A632" s="24"/>
      <c r="B632" s="23"/>
      <c r="C632" s="23"/>
      <c r="D632" s="22"/>
      <c r="E632" s="23"/>
      <c r="F632" s="23"/>
      <c r="G632" s="2"/>
    </row>
    <row r="633" spans="1:7" ht="15.75" customHeight="1">
      <c r="A633" s="24"/>
      <c r="B633" s="23"/>
      <c r="C633" s="23"/>
      <c r="D633" s="22"/>
      <c r="E633" s="23"/>
      <c r="F633" s="23"/>
      <c r="G633" s="2"/>
    </row>
    <row r="634" spans="1:7" ht="15.75" customHeight="1">
      <c r="A634" s="24"/>
      <c r="B634" s="23"/>
      <c r="C634" s="23"/>
      <c r="D634" s="22"/>
      <c r="E634" s="23"/>
      <c r="F634" s="23"/>
      <c r="G634" s="2"/>
    </row>
    <row r="635" spans="1:7" ht="15.75" customHeight="1">
      <c r="A635" s="24"/>
      <c r="B635" s="23"/>
      <c r="C635" s="23"/>
      <c r="D635" s="22"/>
      <c r="E635" s="23"/>
      <c r="F635" s="23"/>
      <c r="G635" s="2"/>
    </row>
    <row r="636" spans="1:7" ht="15.75" customHeight="1">
      <c r="A636" s="24"/>
      <c r="B636" s="23"/>
      <c r="C636" s="23"/>
      <c r="D636" s="22"/>
      <c r="E636" s="23"/>
      <c r="F636" s="23"/>
      <c r="G636" s="2"/>
    </row>
    <row r="637" spans="1:7" ht="15.75" customHeight="1">
      <c r="A637" s="24"/>
      <c r="B637" s="23"/>
      <c r="C637" s="23"/>
      <c r="D637" s="22"/>
      <c r="E637" s="23"/>
      <c r="F637" s="23"/>
      <c r="G637" s="2"/>
    </row>
    <row r="638" spans="1:7" ht="15.75" customHeight="1">
      <c r="A638" s="24"/>
      <c r="B638" s="23"/>
      <c r="C638" s="23"/>
      <c r="D638" s="22"/>
      <c r="E638" s="23"/>
      <c r="F638" s="23"/>
      <c r="G638" s="2"/>
    </row>
    <row r="639" spans="1:7" ht="15.75" customHeight="1">
      <c r="A639" s="24"/>
      <c r="B639" s="23"/>
      <c r="C639" s="23"/>
      <c r="D639" s="22"/>
      <c r="E639" s="23"/>
      <c r="F639" s="23"/>
      <c r="G639" s="2"/>
    </row>
    <row r="640" spans="1:7" ht="15.75" customHeight="1">
      <c r="A640" s="24"/>
      <c r="B640" s="23"/>
      <c r="C640" s="23"/>
      <c r="D640" s="22"/>
      <c r="E640" s="23"/>
      <c r="F640" s="23"/>
      <c r="G640" s="2"/>
    </row>
    <row r="641" spans="1:7" ht="15.75" customHeight="1">
      <c r="A641" s="24"/>
      <c r="B641" s="23"/>
      <c r="C641" s="23"/>
      <c r="D641" s="22"/>
      <c r="E641" s="23"/>
      <c r="F641" s="23"/>
      <c r="G641" s="2"/>
    </row>
    <row r="642" spans="1:7" ht="15.75" customHeight="1">
      <c r="A642" s="26"/>
      <c r="B642" s="23"/>
      <c r="C642" s="23"/>
      <c r="D642" s="22"/>
      <c r="E642" s="23"/>
      <c r="F642" s="23"/>
    </row>
    <row r="643" spans="1:7" ht="15.75" customHeight="1">
      <c r="A643" s="26"/>
      <c r="B643" s="23"/>
      <c r="C643" s="23"/>
      <c r="D643" s="22"/>
      <c r="E643" s="23"/>
      <c r="F643" s="23"/>
    </row>
    <row r="644" spans="1:7" ht="15.75" customHeight="1">
      <c r="A644" s="26"/>
      <c r="B644" s="23"/>
      <c r="C644" s="23"/>
      <c r="D644" s="22"/>
      <c r="E644" s="23"/>
      <c r="F644" s="23"/>
    </row>
    <row r="645" spans="1:7" ht="15.75" customHeight="1">
      <c r="A645" s="26"/>
      <c r="B645" s="23"/>
      <c r="C645" s="23"/>
      <c r="D645" s="22"/>
      <c r="E645" s="23"/>
      <c r="F645" s="23"/>
    </row>
    <row r="646" spans="1:7" ht="15.75" customHeight="1">
      <c r="A646" s="26"/>
      <c r="B646" s="23"/>
      <c r="C646" s="23"/>
      <c r="D646" s="22"/>
      <c r="E646" s="23"/>
      <c r="F646" s="23"/>
    </row>
    <row r="647" spans="1:7" ht="15.75" customHeight="1"/>
    <row r="648" spans="1:7" ht="15.75" customHeight="1"/>
    <row r="649" spans="1:7" ht="15.75" customHeight="1"/>
    <row r="650" spans="1:7" ht="15.75" customHeight="1"/>
    <row r="651" spans="1:7" ht="15.75" customHeight="1"/>
    <row r="652" spans="1:7" ht="15.75" customHeight="1"/>
    <row r="653" spans="1:7" ht="15.75" customHeight="1"/>
    <row r="654" spans="1:7" ht="15.75" customHeight="1"/>
    <row r="655" spans="1:7" ht="15.75" customHeight="1"/>
    <row r="656" spans="1:7"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workbookViewId="0">
      <pane ySplit="4" topLeftCell="A5" activePane="bottomLeft" state="frozen"/>
      <selection pane="bottomLeft" activeCell="B6" sqref="B6"/>
    </sheetView>
  </sheetViews>
  <sheetFormatPr defaultColWidth="14.42578125" defaultRowHeight="15" customHeight="1"/>
  <cols>
    <col min="1" max="1" width="80" customWidth="1"/>
    <col min="2" max="2" width="28" customWidth="1"/>
    <col min="3" max="3" width="50" customWidth="1"/>
    <col min="4" max="26" width="8.7109375" customWidth="1"/>
  </cols>
  <sheetData>
    <row r="1" spans="1:4" ht="18.75">
      <c r="A1" s="88" t="s">
        <v>308</v>
      </c>
      <c r="B1" s="86"/>
      <c r="C1" s="86"/>
      <c r="D1" s="86"/>
    </row>
    <row r="2" spans="1:4">
      <c r="A2" s="87" t="s">
        <v>309</v>
      </c>
      <c r="B2" s="86"/>
      <c r="C2" s="86"/>
      <c r="D2" s="86"/>
    </row>
    <row r="4" spans="1:4">
      <c r="A4" s="3" t="s">
        <v>310</v>
      </c>
      <c r="B4" s="3" t="s">
        <v>84</v>
      </c>
      <c r="C4" s="3" t="s">
        <v>215</v>
      </c>
    </row>
    <row r="5" spans="1:4">
      <c r="A5" s="27" t="s">
        <v>311</v>
      </c>
      <c r="B5" s="27" t="s">
        <v>312</v>
      </c>
      <c r="C5" s="2" t="s">
        <v>313</v>
      </c>
    </row>
    <row r="6" spans="1:4">
      <c r="A6" s="27" t="s">
        <v>314</v>
      </c>
      <c r="B6" s="27" t="s">
        <v>312</v>
      </c>
      <c r="C6" s="2" t="s">
        <v>315</v>
      </c>
    </row>
    <row r="7" spans="1:4">
      <c r="A7" s="27" t="s">
        <v>316</v>
      </c>
      <c r="B7" s="27" t="s">
        <v>312</v>
      </c>
      <c r="C7" s="2" t="s">
        <v>317</v>
      </c>
    </row>
    <row r="8" spans="1:4">
      <c r="A8" s="27" t="s">
        <v>318</v>
      </c>
      <c r="B8" s="27" t="s">
        <v>312</v>
      </c>
      <c r="C8" s="2" t="s">
        <v>319</v>
      </c>
    </row>
    <row r="9" spans="1:4">
      <c r="A9" s="27" t="s">
        <v>320</v>
      </c>
      <c r="B9" s="27" t="s">
        <v>312</v>
      </c>
      <c r="C9" s="2" t="s">
        <v>321</v>
      </c>
    </row>
    <row r="10" spans="1:4">
      <c r="A10" s="27" t="s">
        <v>322</v>
      </c>
      <c r="B10" s="27" t="s">
        <v>312</v>
      </c>
      <c r="C10" s="2" t="s">
        <v>323</v>
      </c>
    </row>
    <row r="11" spans="1:4">
      <c r="A11" s="27" t="s">
        <v>324</v>
      </c>
      <c r="B11" s="27" t="s">
        <v>312</v>
      </c>
      <c r="C11" s="2" t="s">
        <v>325</v>
      </c>
    </row>
    <row r="12" spans="1:4">
      <c r="A12" s="27" t="s">
        <v>326</v>
      </c>
      <c r="B12" s="27" t="s">
        <v>327</v>
      </c>
      <c r="C12" s="2" t="s">
        <v>328</v>
      </c>
    </row>
    <row r="13" spans="1:4">
      <c r="A13" s="27" t="s">
        <v>329</v>
      </c>
      <c r="B13" s="27" t="s">
        <v>330</v>
      </c>
      <c r="C13" s="2" t="s">
        <v>331</v>
      </c>
    </row>
    <row r="14" spans="1:4">
      <c r="A14" s="27" t="s">
        <v>332</v>
      </c>
      <c r="B14" s="27" t="s">
        <v>333</v>
      </c>
      <c r="C14" s="2" t="s">
        <v>334</v>
      </c>
    </row>
    <row r="15" spans="1:4">
      <c r="A15" s="27" t="s">
        <v>335</v>
      </c>
      <c r="B15" s="27" t="s">
        <v>336</v>
      </c>
      <c r="C15" s="2" t="s">
        <v>337</v>
      </c>
    </row>
    <row r="16" spans="1:4">
      <c r="A16" s="27" t="s">
        <v>338</v>
      </c>
      <c r="B16" s="27" t="s">
        <v>339</v>
      </c>
      <c r="C16" s="2" t="s">
        <v>340</v>
      </c>
    </row>
    <row r="17" spans="1:3">
      <c r="A17" s="27" t="s">
        <v>341</v>
      </c>
      <c r="B17" s="27" t="s">
        <v>339</v>
      </c>
      <c r="C17" s="2" t="s">
        <v>342</v>
      </c>
    </row>
    <row r="18" spans="1:3">
      <c r="A18" s="27" t="s">
        <v>343</v>
      </c>
      <c r="B18" s="27" t="s">
        <v>339</v>
      </c>
      <c r="C18" s="2" t="s">
        <v>344</v>
      </c>
    </row>
    <row r="19" spans="1:3">
      <c r="A19" s="27" t="s">
        <v>345</v>
      </c>
      <c r="B19" s="27" t="s">
        <v>346</v>
      </c>
      <c r="C19" s="2" t="s">
        <v>347</v>
      </c>
    </row>
    <row r="20" spans="1:3">
      <c r="A20" s="27" t="s">
        <v>348</v>
      </c>
      <c r="B20" s="27" t="s">
        <v>349</v>
      </c>
      <c r="C20" s="2" t="s">
        <v>350</v>
      </c>
    </row>
    <row r="21" spans="1:3" ht="15.75" customHeight="1">
      <c r="A21" s="27" t="s">
        <v>351</v>
      </c>
      <c r="B21" s="27" t="s">
        <v>352</v>
      </c>
    </row>
    <row r="22" spans="1:3" ht="15.75" customHeight="1">
      <c r="A22" s="27" t="s">
        <v>353</v>
      </c>
      <c r="B22" s="27" t="s">
        <v>354</v>
      </c>
    </row>
    <row r="23" spans="1:3" ht="15.75" customHeight="1">
      <c r="A23" s="27" t="s">
        <v>355</v>
      </c>
      <c r="B23" s="27" t="s">
        <v>356</v>
      </c>
      <c r="C23" s="2" t="s">
        <v>357</v>
      </c>
    </row>
    <row r="24" spans="1:3" ht="15.75" customHeight="1">
      <c r="A24" s="27" t="s">
        <v>358</v>
      </c>
      <c r="B24" s="27" t="s">
        <v>359</v>
      </c>
      <c r="C24" s="2" t="s">
        <v>360</v>
      </c>
    </row>
    <row r="25" spans="1:3" ht="15.75" customHeight="1">
      <c r="A25" s="27" t="s">
        <v>361</v>
      </c>
      <c r="B25" s="27" t="s">
        <v>362</v>
      </c>
      <c r="C25" s="2" t="s">
        <v>363</v>
      </c>
    </row>
    <row r="26" spans="1:3" ht="15.75" customHeight="1">
      <c r="A26" s="27" t="s">
        <v>364</v>
      </c>
      <c r="B26" s="27" t="s">
        <v>365</v>
      </c>
      <c r="C26" s="2" t="s">
        <v>366</v>
      </c>
    </row>
    <row r="27" spans="1:3" ht="15.75" customHeight="1">
      <c r="A27" s="27" t="s">
        <v>367</v>
      </c>
      <c r="B27" s="27" t="s">
        <v>368</v>
      </c>
    </row>
    <row r="28" spans="1:3" ht="15.75" customHeight="1">
      <c r="A28" s="27" t="s">
        <v>369</v>
      </c>
      <c r="B28" s="27" t="s">
        <v>370</v>
      </c>
    </row>
    <row r="29" spans="1:3" ht="15.75" customHeight="1">
      <c r="A29" s="27" t="s">
        <v>371</v>
      </c>
      <c r="B29" s="27" t="s">
        <v>372</v>
      </c>
    </row>
    <row r="30" spans="1:3" ht="15.75" customHeight="1">
      <c r="A30" s="27" t="s">
        <v>373</v>
      </c>
      <c r="B30" s="27" t="s">
        <v>374</v>
      </c>
    </row>
    <row r="31" spans="1:3" ht="15.75" customHeight="1">
      <c r="A31" s="27" t="s">
        <v>375</v>
      </c>
      <c r="B31" s="27" t="s">
        <v>376</v>
      </c>
      <c r="C31" s="2" t="s">
        <v>377</v>
      </c>
    </row>
    <row r="32" spans="1:3" ht="15.75" customHeight="1">
      <c r="A32" s="27" t="s">
        <v>378</v>
      </c>
      <c r="B32" s="27" t="s">
        <v>158</v>
      </c>
    </row>
    <row r="33" spans="1:3" ht="15.75" customHeight="1">
      <c r="A33" s="27" t="s">
        <v>379</v>
      </c>
      <c r="B33" s="27" t="s">
        <v>159</v>
      </c>
    </row>
    <row r="34" spans="1:3" ht="15.75" customHeight="1">
      <c r="A34" s="27" t="s">
        <v>380</v>
      </c>
      <c r="B34" s="27" t="s">
        <v>161</v>
      </c>
    </row>
    <row r="35" spans="1:3" ht="15.75" customHeight="1">
      <c r="A35" s="27" t="s">
        <v>381</v>
      </c>
      <c r="B35" s="27" t="s">
        <v>162</v>
      </c>
    </row>
    <row r="36" spans="1:3" ht="15.75" customHeight="1">
      <c r="A36" s="27" t="s">
        <v>382</v>
      </c>
      <c r="B36" s="27" t="s">
        <v>163</v>
      </c>
    </row>
    <row r="37" spans="1:3" ht="15.75" customHeight="1">
      <c r="A37" s="27" t="s">
        <v>383</v>
      </c>
      <c r="B37" s="27" t="s">
        <v>164</v>
      </c>
    </row>
    <row r="38" spans="1:3" ht="15.75" customHeight="1">
      <c r="A38" s="27" t="s">
        <v>384</v>
      </c>
      <c r="B38" s="27" t="s">
        <v>165</v>
      </c>
    </row>
    <row r="39" spans="1:3" ht="15.75" customHeight="1">
      <c r="A39" s="27" t="s">
        <v>385</v>
      </c>
      <c r="B39" s="27" t="s">
        <v>166</v>
      </c>
    </row>
    <row r="40" spans="1:3" ht="15.75" customHeight="1">
      <c r="A40" s="27" t="s">
        <v>386</v>
      </c>
      <c r="B40" s="27" t="s">
        <v>168</v>
      </c>
    </row>
    <row r="41" spans="1:3" ht="15.75" customHeight="1">
      <c r="A41" s="27" t="s">
        <v>387</v>
      </c>
      <c r="B41" s="27" t="s">
        <v>388</v>
      </c>
      <c r="C41" s="2" t="s">
        <v>389</v>
      </c>
    </row>
    <row r="42" spans="1:3" ht="15.75" customHeight="1">
      <c r="A42" s="27" t="s">
        <v>390</v>
      </c>
      <c r="B42" s="27" t="s">
        <v>160</v>
      </c>
    </row>
    <row r="43" spans="1:3" ht="15.75" customHeight="1">
      <c r="A43" s="27" t="s">
        <v>391</v>
      </c>
      <c r="B43" s="27" t="s">
        <v>167</v>
      </c>
      <c r="C43" t="s">
        <v>392</v>
      </c>
    </row>
    <row r="44" spans="1:3" ht="15.75" customHeight="1">
      <c r="A44" s="27" t="s">
        <v>393</v>
      </c>
      <c r="B44" s="27" t="s">
        <v>169</v>
      </c>
    </row>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F5496"/>
  </sheetPr>
  <dimension ref="A1:J57"/>
  <sheetViews>
    <sheetView workbookViewId="0"/>
  </sheetViews>
  <sheetFormatPr defaultRowHeight="15"/>
  <cols>
    <col min="1" max="1" width="34" customWidth="1"/>
    <col min="2" max="2" width="14" customWidth="1"/>
    <col min="3" max="3" width="52" customWidth="1"/>
    <col min="5" max="5" width="8" customWidth="1"/>
    <col min="6" max="6" width="9" customWidth="1"/>
  </cols>
  <sheetData>
    <row r="1" spans="1:6" ht="18.75">
      <c r="A1" s="31" t="s">
        <v>394</v>
      </c>
    </row>
    <row r="2" spans="1:6" ht="42" customHeight="1">
      <c r="A2" s="90" t="s">
        <v>395</v>
      </c>
      <c r="B2" s="86"/>
      <c r="C2" s="86"/>
      <c r="D2" s="86"/>
      <c r="E2" s="86"/>
      <c r="F2" s="86"/>
    </row>
    <row r="4" spans="1:6">
      <c r="A4" s="32" t="s">
        <v>396</v>
      </c>
      <c r="B4" s="33"/>
      <c r="C4" s="33"/>
    </row>
    <row r="5" spans="1:6">
      <c r="A5" t="s">
        <v>397</v>
      </c>
      <c r="B5" s="34">
        <v>2010</v>
      </c>
      <c r="C5" s="35" t="s">
        <v>398</v>
      </c>
    </row>
    <row r="6" spans="1:6">
      <c r="A6" t="s">
        <v>399</v>
      </c>
      <c r="B6" s="36">
        <v>16</v>
      </c>
      <c r="C6" s="35" t="s">
        <v>400</v>
      </c>
    </row>
    <row r="7" spans="1:6">
      <c r="A7" t="s">
        <v>401</v>
      </c>
      <c r="B7" s="34" t="s">
        <v>402</v>
      </c>
      <c r="C7" s="35" t="s">
        <v>403</v>
      </c>
    </row>
    <row r="8" spans="1:6">
      <c r="A8" t="s">
        <v>404</v>
      </c>
      <c r="B8" s="36">
        <v>16</v>
      </c>
      <c r="C8" s="35" t="s">
        <v>405</v>
      </c>
    </row>
    <row r="10" spans="1:6">
      <c r="A10" s="32" t="s">
        <v>406</v>
      </c>
      <c r="B10" s="33"/>
      <c r="C10" s="33"/>
    </row>
    <row r="11" spans="1:6">
      <c r="A11" t="s">
        <v>407</v>
      </c>
      <c r="B11" s="37">
        <v>45</v>
      </c>
    </row>
    <row r="12" spans="1:6">
      <c r="A12" t="s">
        <v>408</v>
      </c>
      <c r="B12" s="37">
        <v>2026</v>
      </c>
    </row>
    <row r="13" spans="1:6">
      <c r="A13" t="s">
        <v>409</v>
      </c>
      <c r="B13" s="38">
        <v>85000</v>
      </c>
      <c r="C13" s="35" t="s">
        <v>410</v>
      </c>
    </row>
    <row r="14" spans="1:6">
      <c r="A14" t="s">
        <v>411</v>
      </c>
      <c r="B14" s="39">
        <v>0.02</v>
      </c>
    </row>
    <row r="15" spans="1:6">
      <c r="A15" t="s">
        <v>412</v>
      </c>
      <c r="B15" s="37">
        <v>60</v>
      </c>
    </row>
    <row r="16" spans="1:6">
      <c r="A16" t="s">
        <v>413</v>
      </c>
      <c r="B16" s="40">
        <v>0</v>
      </c>
      <c r="C16" s="35" t="s">
        <v>414</v>
      </c>
    </row>
    <row r="18" spans="1:6">
      <c r="A18" s="32" t="s">
        <v>415</v>
      </c>
      <c r="B18" s="33"/>
      <c r="C18" s="33"/>
      <c r="E18" s="41" t="s">
        <v>416</v>
      </c>
      <c r="F18" s="41" t="s">
        <v>417</v>
      </c>
    </row>
    <row r="19" spans="1:6">
      <c r="A19" t="s">
        <v>418</v>
      </c>
      <c r="B19" s="42" t="s">
        <v>419</v>
      </c>
      <c r="E19" s="43">
        <v>55</v>
      </c>
      <c r="F19" s="44">
        <v>1.4999999999999999E-2</v>
      </c>
    </row>
    <row r="20" spans="1:6">
      <c r="A20" t="s">
        <v>420</v>
      </c>
      <c r="B20" s="42" t="s">
        <v>421</v>
      </c>
      <c r="E20" s="43">
        <v>56</v>
      </c>
      <c r="F20" s="44">
        <v>1.6E-2</v>
      </c>
    </row>
    <row r="21" spans="1:6">
      <c r="A21" t="s">
        <v>422</v>
      </c>
      <c r="B21" s="45">
        <v>0.8</v>
      </c>
      <c r="E21" s="43">
        <v>57</v>
      </c>
      <c r="F21" s="44">
        <v>1.7000000000000001E-2</v>
      </c>
    </row>
    <row r="22" spans="1:6">
      <c r="A22" t="s">
        <v>423</v>
      </c>
      <c r="B22" s="42" t="s">
        <v>424</v>
      </c>
      <c r="C22" s="35" t="s">
        <v>425</v>
      </c>
      <c r="E22" s="43">
        <v>58</v>
      </c>
      <c r="F22" s="44">
        <v>1.7999999999999999E-2</v>
      </c>
    </row>
    <row r="23" spans="1:6">
      <c r="A23" t="s">
        <v>426</v>
      </c>
      <c r="B23" s="42">
        <v>55</v>
      </c>
      <c r="E23" s="43">
        <v>59</v>
      </c>
      <c r="F23" s="44">
        <v>1.9E-2</v>
      </c>
    </row>
    <row r="24" spans="1:6">
      <c r="E24" s="43">
        <v>60</v>
      </c>
      <c r="F24" s="44">
        <v>0.02</v>
      </c>
    </row>
    <row r="25" spans="1:6">
      <c r="A25" s="32" t="s">
        <v>427</v>
      </c>
      <c r="B25" s="33"/>
      <c r="C25" s="33"/>
      <c r="E25" s="43">
        <v>61</v>
      </c>
      <c r="F25" s="44">
        <v>2.1000000000000001E-2</v>
      </c>
    </row>
    <row r="26" spans="1:6">
      <c r="A26" t="s">
        <v>428</v>
      </c>
      <c r="B26" s="46">
        <f>B6+(B15-B11)+B16</f>
        <v>31</v>
      </c>
      <c r="E26" s="43">
        <v>62</v>
      </c>
      <c r="F26" s="44">
        <v>2.1999999999999999E-2</v>
      </c>
    </row>
    <row r="27" spans="1:6">
      <c r="A27" t="s">
        <v>429</v>
      </c>
      <c r="B27" s="47">
        <f>IF(B15&lt;55,0,IF(B15&gt;=65,0.025,0.015+(B15-55)*0.001))</f>
        <v>0.02</v>
      </c>
      <c r="E27" s="43">
        <v>63</v>
      </c>
      <c r="F27" s="44">
        <v>2.3E-2</v>
      </c>
    </row>
    <row r="28" spans="1:6">
      <c r="A28" t="s">
        <v>430</v>
      </c>
      <c r="B28" s="48">
        <f>B13*((1+B14)^(B15-B11)+(1+B14)^(B15-B11-1)+(1+B14)^(B15-B11-2))/3</f>
        <v>112170.35573548928</v>
      </c>
      <c r="E28" s="43">
        <v>64</v>
      </c>
      <c r="F28" s="44">
        <v>2.4E-2</v>
      </c>
    </row>
    <row r="29" spans="1:6">
      <c r="A29" t="s">
        <v>431</v>
      </c>
      <c r="B29" s="47">
        <f>MIN($B$21,B27*B26)</f>
        <v>0.62</v>
      </c>
      <c r="E29" s="43">
        <v>65</v>
      </c>
      <c r="F29" s="44">
        <v>2.5000000000000001E-2</v>
      </c>
    </row>
    <row r="30" spans="1:6">
      <c r="A30" t="s">
        <v>432</v>
      </c>
      <c r="B30" s="49" t="str">
        <f>IF(AND($B$7="Y",B26&gt;=30,B8+(B15-B11)&gt;=20),"Yes","No")</f>
        <v>Yes</v>
      </c>
    </row>
    <row r="31" spans="1:6">
      <c r="A31" t="s">
        <v>433</v>
      </c>
      <c r="B31" s="47">
        <f>MIN($B$21,B27*B26+0.02*MAX(0,B26-24))</f>
        <v>0.76</v>
      </c>
    </row>
    <row r="32" spans="1:6">
      <c r="A32" t="s">
        <v>434</v>
      </c>
      <c r="B32" s="50">
        <f>IF(B30="Yes",B31,B29)</f>
        <v>0.76</v>
      </c>
    </row>
    <row r="33" spans="1:10">
      <c r="A33" s="51" t="s">
        <v>435</v>
      </c>
      <c r="B33" s="52">
        <f>B32*B28</f>
        <v>85249.470358971856</v>
      </c>
    </row>
    <row r="34" spans="1:10">
      <c r="A34" t="s">
        <v>436</v>
      </c>
      <c r="B34" s="48">
        <f>B33/12</f>
        <v>7104.1225299143216</v>
      </c>
    </row>
    <row r="36" spans="1:10">
      <c r="A36" s="32" t="s">
        <v>437</v>
      </c>
      <c r="B36" s="33"/>
      <c r="C36" s="33"/>
      <c r="D36" s="33"/>
      <c r="E36" s="33"/>
      <c r="F36" s="33"/>
      <c r="G36" s="33"/>
      <c r="H36" s="33"/>
      <c r="I36" s="33"/>
      <c r="J36" s="33"/>
    </row>
    <row r="37" spans="1:10" ht="30" customHeight="1">
      <c r="A37" s="53" t="s">
        <v>438</v>
      </c>
      <c r="B37" s="53" t="s">
        <v>439</v>
      </c>
      <c r="C37" s="53" t="s">
        <v>440</v>
      </c>
      <c r="D37" s="53" t="s">
        <v>441</v>
      </c>
      <c r="E37" s="53" t="s">
        <v>442</v>
      </c>
      <c r="F37" s="53" t="s">
        <v>443</v>
      </c>
      <c r="G37" s="53" t="s">
        <v>444</v>
      </c>
      <c r="H37" s="53" t="s">
        <v>445</v>
      </c>
      <c r="I37" s="53" t="s">
        <v>446</v>
      </c>
      <c r="J37" s="53" t="s">
        <v>447</v>
      </c>
    </row>
    <row r="38" spans="1:10">
      <c r="A38" s="43">
        <v>55</v>
      </c>
      <c r="B38" s="43">
        <f t="shared" ref="B38:B50" si="0">$B$12+(A38-$B$11)</f>
        <v>2036</v>
      </c>
      <c r="C38" s="54">
        <f t="shared" ref="C38:C50" si="1">$B$6+(A38-$B$11)+$B$16</f>
        <v>26</v>
      </c>
      <c r="D38" s="44">
        <f t="shared" ref="D38:D50" si="2">IF(A38&lt;55,0,IF(A38&gt;=65,0.025,0.015+(A38-55)*0.001))</f>
        <v>1.4999999999999999E-2</v>
      </c>
      <c r="E38" s="44">
        <f t="shared" ref="E38:E50" si="3">MIN($B$21,D38*C38)</f>
        <v>0.39</v>
      </c>
      <c r="F38" s="43" t="str">
        <f t="shared" ref="F38:F50" si="4">IF(AND($B$7="Y",C38&gt;=30,$B$8+(A38-$B$11)&gt;=20),"Y","N")</f>
        <v>N</v>
      </c>
      <c r="G38" s="44">
        <f t="shared" ref="G38:G50" si="5">MIN($B$21,D38*C38+0.02*MAX(0,C38-24))</f>
        <v>0.43</v>
      </c>
      <c r="H38" s="55">
        <f t="shared" ref="H38:H50" si="6">IF(F38="Y",G38,E38)</f>
        <v>0.39</v>
      </c>
      <c r="I38" s="56">
        <f t="shared" ref="I38:I50" si="7">H38*($B$13*((1+$B$14)^(A38-$B$11)+(1+$B$14)^(A38-$B$11-1)+(1+$B$14)^(A38-$B$11-2))/3)</f>
        <v>39622.497384293638</v>
      </c>
      <c r="J38" s="43" t="str">
        <f t="shared" ref="J38:J50" si="8">IF(H38&gt;=$B$21,"◄ 80% CAP","")</f>
        <v/>
      </c>
    </row>
    <row r="39" spans="1:10">
      <c r="A39" s="43">
        <v>56</v>
      </c>
      <c r="B39" s="43">
        <f t="shared" si="0"/>
        <v>2037</v>
      </c>
      <c r="C39" s="54">
        <f t="shared" si="1"/>
        <v>27</v>
      </c>
      <c r="D39" s="44">
        <f t="shared" si="2"/>
        <v>1.6E-2</v>
      </c>
      <c r="E39" s="44">
        <f t="shared" si="3"/>
        <v>0.432</v>
      </c>
      <c r="F39" s="43" t="str">
        <f t="shared" si="4"/>
        <v>N</v>
      </c>
      <c r="G39" s="44">
        <f t="shared" si="5"/>
        <v>0.49199999999999999</v>
      </c>
      <c r="H39" s="55">
        <f t="shared" si="6"/>
        <v>0.432</v>
      </c>
      <c r="I39" s="56">
        <f t="shared" si="7"/>
        <v>44767.326275423446</v>
      </c>
      <c r="J39" s="43" t="str">
        <f t="shared" si="8"/>
        <v/>
      </c>
    </row>
    <row r="40" spans="1:10">
      <c r="A40" s="43">
        <v>57</v>
      </c>
      <c r="B40" s="43">
        <f t="shared" si="0"/>
        <v>2038</v>
      </c>
      <c r="C40" s="54">
        <f t="shared" si="1"/>
        <v>28</v>
      </c>
      <c r="D40" s="44">
        <f t="shared" si="2"/>
        <v>1.7000000000000001E-2</v>
      </c>
      <c r="E40" s="44">
        <f t="shared" si="3"/>
        <v>0.47600000000000003</v>
      </c>
      <c r="F40" s="43" t="str">
        <f t="shared" si="4"/>
        <v>N</v>
      </c>
      <c r="G40" s="44">
        <f t="shared" si="5"/>
        <v>0.55600000000000005</v>
      </c>
      <c r="H40" s="55">
        <f t="shared" si="6"/>
        <v>0.47600000000000003</v>
      </c>
      <c r="I40" s="56">
        <f t="shared" si="7"/>
        <v>50313.500586212031</v>
      </c>
      <c r="J40" s="43" t="str">
        <f t="shared" si="8"/>
        <v/>
      </c>
    </row>
    <row r="41" spans="1:10">
      <c r="A41" s="43">
        <v>58</v>
      </c>
      <c r="B41" s="43">
        <f t="shared" si="0"/>
        <v>2039</v>
      </c>
      <c r="C41" s="54">
        <f t="shared" si="1"/>
        <v>29</v>
      </c>
      <c r="D41" s="44">
        <f t="shared" si="2"/>
        <v>1.7999999999999999E-2</v>
      </c>
      <c r="E41" s="44">
        <f t="shared" si="3"/>
        <v>0.52199999999999991</v>
      </c>
      <c r="F41" s="43" t="str">
        <f t="shared" si="4"/>
        <v>N</v>
      </c>
      <c r="G41" s="44">
        <f t="shared" si="5"/>
        <v>0.62199999999999989</v>
      </c>
      <c r="H41" s="55">
        <f t="shared" si="6"/>
        <v>0.52199999999999991</v>
      </c>
      <c r="I41" s="56">
        <f t="shared" si="7"/>
        <v>56279.244227148585</v>
      </c>
      <c r="J41" s="43" t="str">
        <f t="shared" si="8"/>
        <v/>
      </c>
    </row>
    <row r="42" spans="1:10">
      <c r="A42" s="43">
        <v>59</v>
      </c>
      <c r="B42" s="43">
        <f t="shared" si="0"/>
        <v>2040</v>
      </c>
      <c r="C42" s="54">
        <f t="shared" si="1"/>
        <v>30</v>
      </c>
      <c r="D42" s="44">
        <f t="shared" si="2"/>
        <v>1.9E-2</v>
      </c>
      <c r="E42" s="44">
        <f t="shared" si="3"/>
        <v>0.56999999999999995</v>
      </c>
      <c r="F42" s="43" t="str">
        <f t="shared" si="4"/>
        <v>Y</v>
      </c>
      <c r="G42" s="44">
        <f t="shared" si="5"/>
        <v>0.69</v>
      </c>
      <c r="H42" s="55">
        <f t="shared" si="6"/>
        <v>0.69</v>
      </c>
      <c r="I42" s="56">
        <f t="shared" si="7"/>
        <v>75879.94652694861</v>
      </c>
      <c r="J42" s="43" t="str">
        <f t="shared" si="8"/>
        <v/>
      </c>
    </row>
    <row r="43" spans="1:10">
      <c r="A43" s="43">
        <v>60</v>
      </c>
      <c r="B43" s="43">
        <f t="shared" si="0"/>
        <v>2041</v>
      </c>
      <c r="C43" s="54">
        <f t="shared" si="1"/>
        <v>31</v>
      </c>
      <c r="D43" s="44">
        <f t="shared" si="2"/>
        <v>0.02</v>
      </c>
      <c r="E43" s="44">
        <f t="shared" si="3"/>
        <v>0.62</v>
      </c>
      <c r="F43" s="43" t="str">
        <f t="shared" si="4"/>
        <v>Y</v>
      </c>
      <c r="G43" s="44">
        <f t="shared" si="5"/>
        <v>0.76</v>
      </c>
      <c r="H43" s="55">
        <f t="shared" si="6"/>
        <v>0.76</v>
      </c>
      <c r="I43" s="56">
        <f t="shared" si="7"/>
        <v>85249.470358971856</v>
      </c>
      <c r="J43" s="43" t="str">
        <f t="shared" si="8"/>
        <v/>
      </c>
    </row>
    <row r="44" spans="1:10">
      <c r="A44" s="43">
        <v>61</v>
      </c>
      <c r="B44" s="43">
        <f t="shared" si="0"/>
        <v>2042</v>
      </c>
      <c r="C44" s="54">
        <f t="shared" si="1"/>
        <v>32</v>
      </c>
      <c r="D44" s="44">
        <f t="shared" si="2"/>
        <v>2.0999999999999998E-2</v>
      </c>
      <c r="E44" s="44">
        <f t="shared" si="3"/>
        <v>0.67199999999999993</v>
      </c>
      <c r="F44" s="43" t="str">
        <f t="shared" si="4"/>
        <v>Y</v>
      </c>
      <c r="G44" s="44">
        <f t="shared" si="5"/>
        <v>0.8</v>
      </c>
      <c r="H44" s="55">
        <f t="shared" si="6"/>
        <v>0.8</v>
      </c>
      <c r="I44" s="56">
        <f t="shared" si="7"/>
        <v>91531.010280159229</v>
      </c>
      <c r="J44" s="43" t="str">
        <f t="shared" si="8"/>
        <v>◄ 80% CAP</v>
      </c>
    </row>
    <row r="45" spans="1:10">
      <c r="A45" s="43">
        <v>62</v>
      </c>
      <c r="B45" s="43">
        <f t="shared" si="0"/>
        <v>2043</v>
      </c>
      <c r="C45" s="54">
        <f t="shared" si="1"/>
        <v>33</v>
      </c>
      <c r="D45" s="44">
        <f t="shared" si="2"/>
        <v>2.1999999999999999E-2</v>
      </c>
      <c r="E45" s="44">
        <f t="shared" si="3"/>
        <v>0.72599999999999998</v>
      </c>
      <c r="F45" s="43" t="str">
        <f t="shared" si="4"/>
        <v>Y</v>
      </c>
      <c r="G45" s="44">
        <f t="shared" si="5"/>
        <v>0.8</v>
      </c>
      <c r="H45" s="55">
        <f t="shared" si="6"/>
        <v>0.8</v>
      </c>
      <c r="I45" s="56">
        <f t="shared" si="7"/>
        <v>93361.63048576242</v>
      </c>
      <c r="J45" s="43" t="str">
        <f t="shared" si="8"/>
        <v>◄ 80% CAP</v>
      </c>
    </row>
    <row r="46" spans="1:10">
      <c r="A46" s="43">
        <v>63</v>
      </c>
      <c r="B46" s="43">
        <f t="shared" si="0"/>
        <v>2044</v>
      </c>
      <c r="C46" s="54">
        <f t="shared" si="1"/>
        <v>34</v>
      </c>
      <c r="D46" s="44">
        <f t="shared" si="2"/>
        <v>2.3E-2</v>
      </c>
      <c r="E46" s="44">
        <f t="shared" si="3"/>
        <v>0.78200000000000003</v>
      </c>
      <c r="F46" s="43" t="str">
        <f t="shared" si="4"/>
        <v>Y</v>
      </c>
      <c r="G46" s="44">
        <f t="shared" si="5"/>
        <v>0.8</v>
      </c>
      <c r="H46" s="55">
        <f t="shared" si="6"/>
        <v>0.8</v>
      </c>
      <c r="I46" s="56">
        <f t="shared" si="7"/>
        <v>95228.863095477689</v>
      </c>
      <c r="J46" s="43" t="str">
        <f t="shared" si="8"/>
        <v>◄ 80% CAP</v>
      </c>
    </row>
    <row r="47" spans="1:10">
      <c r="A47" s="43">
        <v>64</v>
      </c>
      <c r="B47" s="43">
        <f t="shared" si="0"/>
        <v>2045</v>
      </c>
      <c r="C47" s="54">
        <f t="shared" si="1"/>
        <v>35</v>
      </c>
      <c r="D47" s="44">
        <f t="shared" si="2"/>
        <v>2.4E-2</v>
      </c>
      <c r="E47" s="44">
        <f t="shared" si="3"/>
        <v>0.8</v>
      </c>
      <c r="F47" s="43" t="str">
        <f t="shared" si="4"/>
        <v>Y</v>
      </c>
      <c r="G47" s="44">
        <f t="shared" si="5"/>
        <v>0.8</v>
      </c>
      <c r="H47" s="55">
        <f t="shared" si="6"/>
        <v>0.8</v>
      </c>
      <c r="I47" s="56">
        <f t="shared" si="7"/>
        <v>97133.440357387241</v>
      </c>
      <c r="J47" s="43" t="str">
        <f t="shared" si="8"/>
        <v>◄ 80% CAP</v>
      </c>
    </row>
    <row r="48" spans="1:10">
      <c r="A48" s="43">
        <v>65</v>
      </c>
      <c r="B48" s="43">
        <f t="shared" si="0"/>
        <v>2046</v>
      </c>
      <c r="C48" s="54">
        <f t="shared" si="1"/>
        <v>36</v>
      </c>
      <c r="D48" s="44">
        <f t="shared" si="2"/>
        <v>2.5000000000000001E-2</v>
      </c>
      <c r="E48" s="44">
        <f t="shared" si="3"/>
        <v>0.8</v>
      </c>
      <c r="F48" s="43" t="str">
        <f t="shared" si="4"/>
        <v>Y</v>
      </c>
      <c r="G48" s="44">
        <f t="shared" si="5"/>
        <v>0.8</v>
      </c>
      <c r="H48" s="55">
        <f t="shared" si="6"/>
        <v>0.8</v>
      </c>
      <c r="I48" s="56">
        <f t="shared" si="7"/>
        <v>99076.109164534966</v>
      </c>
      <c r="J48" s="43" t="str">
        <f t="shared" si="8"/>
        <v>◄ 80% CAP</v>
      </c>
    </row>
    <row r="49" spans="1:10">
      <c r="A49" s="43">
        <v>66</v>
      </c>
      <c r="B49" s="43">
        <f t="shared" si="0"/>
        <v>2047</v>
      </c>
      <c r="C49" s="54">
        <f t="shared" si="1"/>
        <v>37</v>
      </c>
      <c r="D49" s="44">
        <f t="shared" si="2"/>
        <v>2.5000000000000001E-2</v>
      </c>
      <c r="E49" s="44">
        <f t="shared" si="3"/>
        <v>0.8</v>
      </c>
      <c r="F49" s="43" t="str">
        <f t="shared" si="4"/>
        <v>Y</v>
      </c>
      <c r="G49" s="44">
        <f t="shared" si="5"/>
        <v>0.8</v>
      </c>
      <c r="H49" s="55">
        <f t="shared" si="6"/>
        <v>0.8</v>
      </c>
      <c r="I49" s="56">
        <f t="shared" si="7"/>
        <v>101057.63134782568</v>
      </c>
      <c r="J49" s="43" t="str">
        <f t="shared" si="8"/>
        <v>◄ 80% CAP</v>
      </c>
    </row>
    <row r="50" spans="1:10">
      <c r="A50" s="43">
        <v>67</v>
      </c>
      <c r="B50" s="43">
        <f t="shared" si="0"/>
        <v>2048</v>
      </c>
      <c r="C50" s="54">
        <f t="shared" si="1"/>
        <v>38</v>
      </c>
      <c r="D50" s="44">
        <f t="shared" si="2"/>
        <v>2.5000000000000001E-2</v>
      </c>
      <c r="E50" s="44">
        <f t="shared" si="3"/>
        <v>0.8</v>
      </c>
      <c r="F50" s="43" t="str">
        <f t="shared" si="4"/>
        <v>Y</v>
      </c>
      <c r="G50" s="44">
        <f t="shared" si="5"/>
        <v>0.8</v>
      </c>
      <c r="H50" s="55">
        <f t="shared" si="6"/>
        <v>0.8</v>
      </c>
      <c r="I50" s="56">
        <f t="shared" si="7"/>
        <v>103078.78397478219</v>
      </c>
      <c r="J50" s="43" t="str">
        <f t="shared" si="8"/>
        <v>◄ 80% CAP</v>
      </c>
    </row>
    <row r="52" spans="1:10">
      <c r="A52" s="51" t="s">
        <v>448</v>
      </c>
      <c r="C52" s="57">
        <f>IFERROR(INDEX(A38:A50,MATCH(TRUE,INDEX(H38:H50&gt;=$B$21,0),0)),"Not by 67")</f>
        <v>61</v>
      </c>
    </row>
    <row r="53" spans="1:10">
      <c r="A53" s="51" t="s">
        <v>449</v>
      </c>
      <c r="C53" s="57">
        <f>IFERROR($B$12+(C52-$B$11),"—")</f>
        <v>2042</v>
      </c>
    </row>
    <row r="55" spans="1:10">
      <c r="A55" s="89" t="s">
        <v>450</v>
      </c>
      <c r="B55" s="86"/>
      <c r="C55" s="86"/>
      <c r="D55" s="86"/>
      <c r="E55" s="86"/>
      <c r="F55" s="86"/>
      <c r="G55" s="86"/>
      <c r="H55" s="86"/>
      <c r="I55" s="86"/>
      <c r="J55" s="86"/>
    </row>
    <row r="56" spans="1:10">
      <c r="A56" s="86"/>
      <c r="B56" s="86"/>
      <c r="C56" s="86"/>
      <c r="D56" s="86"/>
      <c r="E56" s="86"/>
      <c r="F56" s="86"/>
      <c r="G56" s="86"/>
      <c r="H56" s="86"/>
      <c r="I56" s="86"/>
      <c r="J56" s="86"/>
    </row>
    <row r="57" spans="1:10">
      <c r="A57" s="86"/>
      <c r="B57" s="86"/>
      <c r="C57" s="86"/>
      <c r="D57" s="86"/>
      <c r="E57" s="86"/>
      <c r="F57" s="86"/>
      <c r="G57" s="86"/>
      <c r="H57" s="86"/>
      <c r="I57" s="86"/>
      <c r="J57" s="86"/>
    </row>
  </sheetData>
  <mergeCells count="2">
    <mergeCell ref="A2:F2"/>
    <mergeCell ref="A55:J5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375623"/>
  </sheetPr>
  <dimension ref="A1:C70"/>
  <sheetViews>
    <sheetView workbookViewId="0"/>
  </sheetViews>
  <sheetFormatPr defaultRowHeight="15"/>
  <cols>
    <col min="1" max="1" width="40" customWidth="1"/>
    <col min="2" max="2" width="15" customWidth="1"/>
    <col min="3" max="3" width="54" customWidth="1"/>
  </cols>
  <sheetData>
    <row r="1" spans="1:3" ht="18.75">
      <c r="A1" s="31" t="s">
        <v>451</v>
      </c>
    </row>
    <row r="2" spans="1:3" ht="39.950000000000003" customHeight="1">
      <c r="A2" s="90" t="s">
        <v>452</v>
      </c>
      <c r="B2" s="86"/>
      <c r="C2" s="86"/>
    </row>
    <row r="4" spans="1:3">
      <c r="A4" s="32" t="s">
        <v>453</v>
      </c>
      <c r="B4" s="33"/>
      <c r="C4" s="33"/>
    </row>
    <row r="5" spans="1:3">
      <c r="A5" t="s">
        <v>454</v>
      </c>
      <c r="B5" s="37">
        <v>45</v>
      </c>
    </row>
    <row r="6" spans="1:3">
      <c r="A6" t="s">
        <v>407</v>
      </c>
      <c r="B6" s="37">
        <v>45</v>
      </c>
    </row>
    <row r="7" spans="1:3">
      <c r="A7" t="s">
        <v>408</v>
      </c>
      <c r="B7" s="37">
        <v>2026</v>
      </c>
    </row>
    <row r="8" spans="1:3">
      <c r="A8" t="s">
        <v>455</v>
      </c>
      <c r="B8" s="38">
        <v>90000</v>
      </c>
      <c r="C8" s="35" t="s">
        <v>456</v>
      </c>
    </row>
    <row r="9" spans="1:3">
      <c r="A9" t="s">
        <v>457</v>
      </c>
      <c r="B9" s="58">
        <v>0.04</v>
      </c>
    </row>
    <row r="10" spans="1:3">
      <c r="A10" t="s">
        <v>458</v>
      </c>
      <c r="B10" s="58">
        <v>7.0000000000000007E-2</v>
      </c>
      <c r="C10" s="35" t="s">
        <v>459</v>
      </c>
    </row>
    <row r="11" spans="1:3">
      <c r="A11" t="s">
        <v>460</v>
      </c>
      <c r="B11" s="58">
        <v>0.03</v>
      </c>
    </row>
    <row r="12" spans="1:3">
      <c r="A12" t="s">
        <v>461</v>
      </c>
      <c r="B12" s="59">
        <f>(1+B10)/(1+B11)-1</f>
        <v>3.8834951456310662E-2</v>
      </c>
    </row>
    <row r="14" spans="1:3">
      <c r="A14" s="32" t="s">
        <v>462</v>
      </c>
      <c r="B14" s="33"/>
      <c r="C14" s="33"/>
    </row>
    <row r="15" spans="1:3">
      <c r="A15" t="s">
        <v>203</v>
      </c>
      <c r="B15" s="60">
        <v>228000</v>
      </c>
    </row>
    <row r="16" spans="1:3">
      <c r="A16" t="s">
        <v>204</v>
      </c>
      <c r="B16" s="60">
        <v>0</v>
      </c>
    </row>
    <row r="17" spans="1:3">
      <c r="A17" t="s">
        <v>463</v>
      </c>
      <c r="B17" s="60">
        <v>0</v>
      </c>
    </row>
    <row r="18" spans="1:3">
      <c r="A18" t="s">
        <v>464</v>
      </c>
      <c r="B18" s="60">
        <v>0</v>
      </c>
    </row>
    <row r="19" spans="1:3">
      <c r="A19" t="s">
        <v>465</v>
      </c>
      <c r="B19" s="60">
        <v>0</v>
      </c>
    </row>
    <row r="20" spans="1:3">
      <c r="A20" t="s">
        <v>466</v>
      </c>
      <c r="B20" s="60">
        <v>0</v>
      </c>
      <c r="C20" s="35" t="s">
        <v>467</v>
      </c>
    </row>
    <row r="21" spans="1:3">
      <c r="A21" s="51" t="s">
        <v>468</v>
      </c>
      <c r="B21" s="52">
        <f>SUM(B15:B20)</f>
        <v>228000</v>
      </c>
    </row>
    <row r="22" spans="1:3">
      <c r="A22" t="s">
        <v>469</v>
      </c>
      <c r="B22" s="61">
        <v>14298</v>
      </c>
      <c r="C22" s="35" t="s">
        <v>470</v>
      </c>
    </row>
    <row r="24" spans="1:3">
      <c r="A24" s="32" t="s">
        <v>471</v>
      </c>
      <c r="B24" s="33"/>
      <c r="C24" s="33"/>
    </row>
    <row r="25" spans="1:3">
      <c r="A25" t="s">
        <v>472</v>
      </c>
      <c r="B25" s="60">
        <v>23500</v>
      </c>
    </row>
    <row r="26" spans="1:3">
      <c r="A26" t="s">
        <v>473</v>
      </c>
      <c r="B26" s="60">
        <v>4338</v>
      </c>
    </row>
    <row r="27" spans="1:3">
      <c r="A27" t="s">
        <v>474</v>
      </c>
      <c r="B27" s="60">
        <v>0</v>
      </c>
    </row>
    <row r="28" spans="1:3">
      <c r="A28" t="s">
        <v>475</v>
      </c>
      <c r="B28" s="60">
        <v>9000</v>
      </c>
      <c r="C28" s="35" t="s">
        <v>476</v>
      </c>
    </row>
    <row r="29" spans="1:3">
      <c r="A29" t="s">
        <v>477</v>
      </c>
      <c r="B29" s="60">
        <v>15000</v>
      </c>
    </row>
    <row r="30" spans="1:3">
      <c r="A30" t="s">
        <v>478</v>
      </c>
      <c r="B30" s="60">
        <v>0</v>
      </c>
    </row>
    <row r="31" spans="1:3">
      <c r="A31" t="s">
        <v>200</v>
      </c>
      <c r="B31" s="60">
        <v>1200</v>
      </c>
    </row>
    <row r="32" spans="1:3">
      <c r="A32" s="51" t="s">
        <v>479</v>
      </c>
      <c r="B32" s="52">
        <f>SUM(B25:B31)</f>
        <v>53038</v>
      </c>
    </row>
    <row r="34" spans="1:3">
      <c r="A34" s="32" t="s">
        <v>480</v>
      </c>
      <c r="B34" s="33"/>
      <c r="C34" s="33"/>
    </row>
    <row r="35" spans="1:3">
      <c r="A35" t="s">
        <v>481</v>
      </c>
      <c r="B35" s="38">
        <v>229000</v>
      </c>
      <c r="C35" s="35" t="s">
        <v>482</v>
      </c>
    </row>
    <row r="36" spans="1:3">
      <c r="A36" t="s">
        <v>483</v>
      </c>
      <c r="B36" s="62">
        <f>B32/B35</f>
        <v>0.23160698689956333</v>
      </c>
    </row>
    <row r="38" spans="1:3">
      <c r="A38" s="32" t="s">
        <v>484</v>
      </c>
      <c r="B38" s="33"/>
      <c r="C38" s="33"/>
    </row>
    <row r="39" spans="1:3">
      <c r="A39" t="s">
        <v>485</v>
      </c>
      <c r="B39" s="52">
        <f>B8/B9</f>
        <v>2250000</v>
      </c>
      <c r="C39" s="35" t="s">
        <v>486</v>
      </c>
    </row>
    <row r="40" spans="1:3">
      <c r="A40" t="s">
        <v>487</v>
      </c>
      <c r="B40" s="61">
        <f>'Pension - Sue'!B33</f>
        <v>85249.470358971856</v>
      </c>
      <c r="C40" s="35" t="s">
        <v>488</v>
      </c>
    </row>
    <row r="41" spans="1:3">
      <c r="A41" t="s">
        <v>489</v>
      </c>
      <c r="B41" s="38">
        <v>40000</v>
      </c>
      <c r="C41" s="35" t="s">
        <v>490</v>
      </c>
    </row>
    <row r="42" spans="1:3">
      <c r="A42" t="s">
        <v>491</v>
      </c>
      <c r="B42" s="61">
        <f>B40+B41</f>
        <v>125249.47035897186</v>
      </c>
    </row>
    <row r="43" spans="1:3">
      <c r="A43" t="s">
        <v>492</v>
      </c>
      <c r="B43" s="61">
        <f>B42/B9</f>
        <v>3131236.7589742965</v>
      </c>
      <c r="C43" s="35" t="s">
        <v>493</v>
      </c>
    </row>
    <row r="44" spans="1:3">
      <c r="A44" s="51" t="s">
        <v>494</v>
      </c>
      <c r="B44" s="52">
        <f>MAX(0,(B8-B42)/B9)</f>
        <v>0</v>
      </c>
      <c r="C44" s="35" t="s">
        <v>495</v>
      </c>
    </row>
    <row r="48" spans="1:3">
      <c r="A48" s="32" t="s">
        <v>496</v>
      </c>
      <c r="B48" s="33"/>
      <c r="C48" s="33"/>
    </row>
    <row r="49" spans="1:3" ht="24">
      <c r="A49" t="s">
        <v>497</v>
      </c>
      <c r="B49" s="63">
        <f>IFERROR(NPER(B12,-B32,-B21,B39),"check inputs")</f>
        <v>21.501848383184839</v>
      </c>
      <c r="C49" s="30" t="s">
        <v>498</v>
      </c>
    </row>
    <row r="50" spans="1:3">
      <c r="A50" t="s">
        <v>499</v>
      </c>
      <c r="B50" s="64">
        <f>IF(ISNUMBER(B49),B5+B49,"—")</f>
        <v>66.501848383184836</v>
      </c>
    </row>
    <row r="51" spans="1:3">
      <c r="A51" t="s">
        <v>500</v>
      </c>
      <c r="B51" s="65">
        <f>IF(ISNUMBER(B49),B7+B49,"—")</f>
        <v>2047.5018483831848</v>
      </c>
    </row>
    <row r="53" spans="1:3">
      <c r="A53" s="32" t="s">
        <v>501</v>
      </c>
      <c r="B53" s="33"/>
      <c r="C53" s="33"/>
    </row>
    <row r="54" spans="1:3">
      <c r="A54" t="s">
        <v>502</v>
      </c>
      <c r="B54" s="37">
        <v>55</v>
      </c>
    </row>
    <row r="55" spans="1:3">
      <c r="A55" t="s">
        <v>503</v>
      </c>
      <c r="B55" s="60">
        <v>0</v>
      </c>
    </row>
    <row r="56" spans="1:3">
      <c r="A56" t="s">
        <v>504</v>
      </c>
      <c r="B56" s="60">
        <v>0</v>
      </c>
    </row>
    <row r="57" spans="1:3">
      <c r="A57" t="s">
        <v>478</v>
      </c>
      <c r="B57" s="60">
        <v>0</v>
      </c>
    </row>
    <row r="58" spans="1:3">
      <c r="A58" s="51" t="s">
        <v>505</v>
      </c>
      <c r="B58" s="52">
        <f>SUM(B55:B57)</f>
        <v>0</v>
      </c>
    </row>
    <row r="59" spans="1:3">
      <c r="A59" t="s">
        <v>506</v>
      </c>
      <c r="B59" s="64">
        <f>59.5-B54</f>
        <v>4.5</v>
      </c>
    </row>
    <row r="60" spans="1:3">
      <c r="A60" t="s">
        <v>507</v>
      </c>
      <c r="B60" s="38">
        <v>90000</v>
      </c>
      <c r="C60" s="35" t="s">
        <v>508</v>
      </c>
    </row>
    <row r="61" spans="1:3">
      <c r="A61" t="s">
        <v>509</v>
      </c>
      <c r="B61" s="61">
        <f>B59*B60</f>
        <v>405000</v>
      </c>
    </row>
    <row r="62" spans="1:3">
      <c r="A62" s="51" t="s">
        <v>510</v>
      </c>
      <c r="B62" s="52">
        <f>B58-B61</f>
        <v>-405000</v>
      </c>
    </row>
    <row r="64" spans="1:3">
      <c r="A64" s="32" t="s">
        <v>511</v>
      </c>
      <c r="B64" s="33"/>
      <c r="C64" s="33"/>
    </row>
    <row r="65" spans="1:3">
      <c r="A65" s="51" t="s">
        <v>512</v>
      </c>
    </row>
    <row r="66" spans="1:3">
      <c r="A66" s="89" t="s">
        <v>513</v>
      </c>
      <c r="B66" s="86"/>
      <c r="C66" s="86"/>
    </row>
    <row r="67" spans="1:3">
      <c r="A67" s="86"/>
      <c r="B67" s="86"/>
      <c r="C67" s="86"/>
    </row>
    <row r="68" spans="1:3">
      <c r="A68" s="51" t="s">
        <v>514</v>
      </c>
    </row>
    <row r="69" spans="1:3">
      <c r="A69" s="91" t="str">
        <f>CONCATENATE("Sue hits the 80% cap at age ",'Pension - Sue'!C52," (year ",'Pension - Sue'!C53,"); ","both fully retired — the pension+SS floor then covers about ",TEXT(B42/B8,"0%")," of target spend.")</f>
        <v>Sue hits the 80% cap at age 61 (year 2042); both fully retired — the pension+SS floor then covers about 139% of target spend.</v>
      </c>
      <c r="B69" s="86"/>
      <c r="C69" s="86"/>
    </row>
    <row r="70" spans="1:3">
      <c r="A70" s="86"/>
      <c r="B70" s="86"/>
      <c r="C70" s="86"/>
    </row>
  </sheetData>
  <mergeCells count="3">
    <mergeCell ref="A66:C67"/>
    <mergeCell ref="A69:C70"/>
    <mergeCell ref="A2:C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8F00"/>
  </sheetPr>
  <dimension ref="A1:N34"/>
  <sheetViews>
    <sheetView tabSelected="1" workbookViewId="0"/>
  </sheetViews>
  <sheetFormatPr defaultRowHeight="15"/>
  <cols>
    <col min="1" max="1" width="32" customWidth="1"/>
    <col min="2" max="2" width="34" customWidth="1"/>
    <col min="3" max="13" width="9" customWidth="1"/>
    <col min="14" max="14" width="11" customWidth="1"/>
  </cols>
  <sheetData>
    <row r="1" spans="1:14" ht="18.75">
      <c r="A1" s="31" t="s">
        <v>515</v>
      </c>
    </row>
    <row r="2" spans="1:14" ht="42" customHeight="1">
      <c r="A2" s="90" t="s">
        <v>516</v>
      </c>
      <c r="B2" s="86"/>
      <c r="C2" s="86"/>
      <c r="D2" s="86"/>
      <c r="E2" s="86"/>
      <c r="F2" s="86"/>
      <c r="G2" s="86"/>
      <c r="H2" s="86"/>
      <c r="I2" s="86"/>
      <c r="J2" s="86"/>
      <c r="K2" s="86"/>
      <c r="L2" s="86"/>
      <c r="M2" s="86"/>
      <c r="N2" s="86"/>
    </row>
    <row r="4" spans="1:14">
      <c r="A4" s="32" t="s">
        <v>517</v>
      </c>
      <c r="B4" s="33"/>
      <c r="C4" s="33"/>
      <c r="D4" s="33"/>
      <c r="E4" s="33"/>
      <c r="F4" s="33"/>
      <c r="G4" s="33"/>
      <c r="H4" s="33"/>
      <c r="I4" s="33"/>
      <c r="J4" s="33"/>
      <c r="K4" s="33"/>
      <c r="L4" s="33"/>
      <c r="M4" s="33"/>
      <c r="N4" s="33"/>
    </row>
    <row r="5" spans="1:14">
      <c r="A5" s="66" t="s">
        <v>286</v>
      </c>
      <c r="B5" s="41" t="s">
        <v>85</v>
      </c>
      <c r="C5" s="41" t="s">
        <v>86</v>
      </c>
      <c r="D5" s="41" t="s">
        <v>87</v>
      </c>
      <c r="E5" s="41" t="s">
        <v>88</v>
      </c>
      <c r="F5" s="41" t="s">
        <v>89</v>
      </c>
      <c r="G5" s="41" t="s">
        <v>90</v>
      </c>
      <c r="H5" s="41" t="s">
        <v>91</v>
      </c>
      <c r="I5" s="41" t="s">
        <v>92</v>
      </c>
      <c r="J5" s="41" t="s">
        <v>93</v>
      </c>
      <c r="K5" s="41" t="s">
        <v>94</v>
      </c>
      <c r="L5" s="41" t="s">
        <v>95</v>
      </c>
      <c r="M5" s="41" t="s">
        <v>96</v>
      </c>
      <c r="N5" s="41" t="s">
        <v>157</v>
      </c>
    </row>
    <row r="6" spans="1:14">
      <c r="A6" s="67" t="s">
        <v>518</v>
      </c>
      <c r="B6" s="68">
        <f>'CC Detail'!B14</f>
        <v>856.77</v>
      </c>
      <c r="C6" s="68">
        <f>'CC Detail'!C14</f>
        <v>267.06</v>
      </c>
      <c r="D6" s="68">
        <f>'CC Detail'!D14</f>
        <v>417.23</v>
      </c>
      <c r="E6" s="68">
        <f>'CC Detail'!E14</f>
        <v>482.16</v>
      </c>
      <c r="F6" s="68">
        <f>'CC Detail'!F14</f>
        <v>688.51</v>
      </c>
      <c r="G6" s="68">
        <f>'CC Detail'!G14</f>
        <v>157.93</v>
      </c>
      <c r="H6" s="68">
        <f>'CC Detail'!H14</f>
        <v>0</v>
      </c>
      <c r="I6" s="68">
        <f>'CC Detail'!I14</f>
        <v>0</v>
      </c>
      <c r="J6" s="68">
        <f>'CC Detail'!J14</f>
        <v>0</v>
      </c>
      <c r="K6" s="68">
        <f>'CC Detail'!K14</f>
        <v>0</v>
      </c>
      <c r="L6" s="68">
        <f>'CC Detail'!L14</f>
        <v>0</v>
      </c>
      <c r="M6" s="68">
        <f>'CC Detail'!M14</f>
        <v>0</v>
      </c>
      <c r="N6" s="69">
        <f>SUM(B6:M6)</f>
        <v>2869.66</v>
      </c>
    </row>
    <row r="8" spans="1:14">
      <c r="A8" s="32" t="s">
        <v>519</v>
      </c>
      <c r="B8" s="33"/>
      <c r="C8" s="33"/>
      <c r="D8" s="33"/>
      <c r="E8" s="33"/>
      <c r="F8" s="33"/>
      <c r="G8" s="33"/>
      <c r="H8" s="33"/>
      <c r="I8" s="33"/>
      <c r="J8" s="33"/>
      <c r="K8" s="33"/>
      <c r="L8" s="33"/>
      <c r="M8" s="33"/>
      <c r="N8" s="33"/>
    </row>
    <row r="9" spans="1:14">
      <c r="A9" s="66" t="s">
        <v>84</v>
      </c>
      <c r="B9" s="41" t="s">
        <v>85</v>
      </c>
      <c r="C9" s="41" t="s">
        <v>86</v>
      </c>
      <c r="D9" s="41" t="s">
        <v>87</v>
      </c>
      <c r="E9" s="41" t="s">
        <v>88</v>
      </c>
      <c r="F9" s="41" t="s">
        <v>89</v>
      </c>
      <c r="G9" s="41" t="s">
        <v>90</v>
      </c>
      <c r="H9" s="41" t="s">
        <v>91</v>
      </c>
      <c r="I9" s="41" t="s">
        <v>92</v>
      </c>
      <c r="J9" s="41" t="s">
        <v>93</v>
      </c>
      <c r="K9" s="41" t="s">
        <v>94</v>
      </c>
      <c r="L9" s="41" t="s">
        <v>95</v>
      </c>
      <c r="M9" s="41" t="s">
        <v>96</v>
      </c>
      <c r="N9" s="41" t="s">
        <v>157</v>
      </c>
    </row>
    <row r="10" spans="1:14">
      <c r="A10" s="70" t="s">
        <v>158</v>
      </c>
      <c r="B10" s="71">
        <v>0</v>
      </c>
      <c r="C10" s="71">
        <v>0</v>
      </c>
      <c r="D10" s="71">
        <v>0</v>
      </c>
      <c r="E10" s="71">
        <v>0</v>
      </c>
      <c r="F10" s="71">
        <v>0</v>
      </c>
      <c r="G10" s="71">
        <v>0</v>
      </c>
      <c r="H10" s="71">
        <v>0</v>
      </c>
      <c r="I10" s="71">
        <v>0</v>
      </c>
      <c r="J10" s="71">
        <v>0</v>
      </c>
      <c r="K10" s="71">
        <v>0</v>
      </c>
      <c r="L10" s="71">
        <v>0</v>
      </c>
      <c r="M10" s="71">
        <v>0</v>
      </c>
      <c r="N10" s="68">
        <f t="shared" ref="N10:N16" si="0">SUM(B10:M10)</f>
        <v>0</v>
      </c>
    </row>
    <row r="11" spans="1:14">
      <c r="A11" s="70" t="s">
        <v>162</v>
      </c>
      <c r="B11" s="71">
        <v>0</v>
      </c>
      <c r="C11" s="71">
        <v>0</v>
      </c>
      <c r="D11" s="71">
        <v>0</v>
      </c>
      <c r="E11" s="71">
        <v>0</v>
      </c>
      <c r="F11" s="71">
        <v>0</v>
      </c>
      <c r="G11" s="71">
        <v>0</v>
      </c>
      <c r="H11" s="71">
        <v>0</v>
      </c>
      <c r="I11" s="71">
        <v>0</v>
      </c>
      <c r="J11" s="71">
        <v>0</v>
      </c>
      <c r="K11" s="71">
        <v>0</v>
      </c>
      <c r="L11" s="71">
        <v>0</v>
      </c>
      <c r="M11" s="71">
        <v>0</v>
      </c>
      <c r="N11" s="68">
        <f t="shared" si="0"/>
        <v>0</v>
      </c>
    </row>
    <row r="12" spans="1:14">
      <c r="A12" s="70" t="s">
        <v>164</v>
      </c>
      <c r="B12" s="71">
        <v>0</v>
      </c>
      <c r="C12" s="71">
        <v>0</v>
      </c>
      <c r="D12" s="71">
        <v>0</v>
      </c>
      <c r="E12" s="71">
        <v>0</v>
      </c>
      <c r="F12" s="71">
        <v>0</v>
      </c>
      <c r="G12" s="71">
        <v>0</v>
      </c>
      <c r="H12" s="71">
        <v>0</v>
      </c>
      <c r="I12" s="71">
        <v>0</v>
      </c>
      <c r="J12" s="71">
        <v>0</v>
      </c>
      <c r="K12" s="71">
        <v>0</v>
      </c>
      <c r="L12" s="71">
        <v>0</v>
      </c>
      <c r="M12" s="71">
        <v>0</v>
      </c>
      <c r="N12" s="68">
        <f t="shared" si="0"/>
        <v>0</v>
      </c>
    </row>
    <row r="13" spans="1:14">
      <c r="A13" s="70" t="s">
        <v>165</v>
      </c>
      <c r="B13" s="71">
        <v>0</v>
      </c>
      <c r="C13" s="71">
        <v>0</v>
      </c>
      <c r="D13" s="71">
        <v>0</v>
      </c>
      <c r="E13" s="71">
        <v>0</v>
      </c>
      <c r="F13" s="71">
        <v>0</v>
      </c>
      <c r="G13" s="71">
        <v>0</v>
      </c>
      <c r="H13" s="71">
        <v>0</v>
      </c>
      <c r="I13" s="71">
        <v>0</v>
      </c>
      <c r="J13" s="71">
        <v>0</v>
      </c>
      <c r="K13" s="71">
        <v>0</v>
      </c>
      <c r="L13" s="71">
        <v>0</v>
      </c>
      <c r="M13" s="71">
        <v>0</v>
      </c>
      <c r="N13" s="68">
        <f t="shared" si="0"/>
        <v>0</v>
      </c>
    </row>
    <row r="14" spans="1:14">
      <c r="A14" s="70" t="s">
        <v>166</v>
      </c>
      <c r="B14" s="71">
        <v>0</v>
      </c>
      <c r="C14" s="71">
        <v>0</v>
      </c>
      <c r="D14" s="71">
        <v>0</v>
      </c>
      <c r="E14" s="71">
        <v>0</v>
      </c>
      <c r="F14" s="71">
        <v>0</v>
      </c>
      <c r="G14" s="71">
        <v>0</v>
      </c>
      <c r="H14" s="71">
        <v>0</v>
      </c>
      <c r="I14" s="71">
        <v>0</v>
      </c>
      <c r="J14" s="71">
        <v>0</v>
      </c>
      <c r="K14" s="71">
        <v>0</v>
      </c>
      <c r="L14" s="71">
        <v>0</v>
      </c>
      <c r="M14" s="71">
        <v>0</v>
      </c>
      <c r="N14" s="68">
        <f t="shared" si="0"/>
        <v>0</v>
      </c>
    </row>
    <row r="15" spans="1:14">
      <c r="A15" s="70" t="s">
        <v>520</v>
      </c>
      <c r="B15" s="71">
        <v>0</v>
      </c>
      <c r="C15" s="71">
        <v>0</v>
      </c>
      <c r="D15" s="71">
        <v>0</v>
      </c>
      <c r="E15" s="71">
        <v>0</v>
      </c>
      <c r="F15" s="71">
        <v>0</v>
      </c>
      <c r="G15" s="71">
        <v>0</v>
      </c>
      <c r="H15" s="71">
        <v>0</v>
      </c>
      <c r="I15" s="71">
        <v>0</v>
      </c>
      <c r="J15" s="71">
        <v>0</v>
      </c>
      <c r="K15" s="71">
        <v>0</v>
      </c>
      <c r="L15" s="71">
        <v>0</v>
      </c>
      <c r="M15" s="71">
        <v>0</v>
      </c>
      <c r="N15" s="68">
        <f t="shared" si="0"/>
        <v>0</v>
      </c>
    </row>
    <row r="16" spans="1:14">
      <c r="A16" s="70" t="s">
        <v>521</v>
      </c>
      <c r="B16" s="71">
        <v>0</v>
      </c>
      <c r="C16" s="71">
        <v>0</v>
      </c>
      <c r="D16" s="71">
        <v>0</v>
      </c>
      <c r="E16" s="71">
        <v>0</v>
      </c>
      <c r="F16" s="71">
        <v>0</v>
      </c>
      <c r="G16" s="71">
        <v>0</v>
      </c>
      <c r="H16" s="71">
        <v>0</v>
      </c>
      <c r="I16" s="71">
        <v>0</v>
      </c>
      <c r="J16" s="71">
        <v>0</v>
      </c>
      <c r="K16" s="71">
        <v>0</v>
      </c>
      <c r="L16" s="71">
        <v>0</v>
      </c>
      <c r="M16" s="71">
        <v>0</v>
      </c>
      <c r="N16" s="68">
        <f t="shared" si="0"/>
        <v>0</v>
      </c>
    </row>
    <row r="17" spans="1:14">
      <c r="A17" s="67" t="s">
        <v>522</v>
      </c>
      <c r="B17" s="72">
        <f t="shared" ref="B17:N17" si="1">SUM(B10:B16)</f>
        <v>0</v>
      </c>
      <c r="C17" s="72">
        <f t="shared" si="1"/>
        <v>0</v>
      </c>
      <c r="D17" s="72">
        <f t="shared" si="1"/>
        <v>0</v>
      </c>
      <c r="E17" s="72">
        <f t="shared" si="1"/>
        <v>0</v>
      </c>
      <c r="F17" s="72">
        <f t="shared" si="1"/>
        <v>0</v>
      </c>
      <c r="G17" s="72">
        <f t="shared" si="1"/>
        <v>0</v>
      </c>
      <c r="H17" s="72">
        <f t="shared" si="1"/>
        <v>0</v>
      </c>
      <c r="I17" s="72">
        <f t="shared" si="1"/>
        <v>0</v>
      </c>
      <c r="J17" s="72">
        <f t="shared" si="1"/>
        <v>0</v>
      </c>
      <c r="K17" s="72">
        <f t="shared" si="1"/>
        <v>0</v>
      </c>
      <c r="L17" s="72">
        <f t="shared" si="1"/>
        <v>0</v>
      </c>
      <c r="M17" s="72">
        <f t="shared" si="1"/>
        <v>0</v>
      </c>
      <c r="N17" s="72">
        <f t="shared" si="1"/>
        <v>0</v>
      </c>
    </row>
    <row r="18" spans="1:14">
      <c r="A18" s="67" t="s">
        <v>523</v>
      </c>
      <c r="B18" s="69">
        <f t="shared" ref="B18:N18" si="2">B6-B17</f>
        <v>856.77</v>
      </c>
      <c r="C18" s="69">
        <f t="shared" si="2"/>
        <v>267.06</v>
      </c>
      <c r="D18" s="69">
        <f t="shared" si="2"/>
        <v>417.23</v>
      </c>
      <c r="E18" s="69">
        <f t="shared" si="2"/>
        <v>482.16</v>
      </c>
      <c r="F18" s="69">
        <f t="shared" si="2"/>
        <v>688.51</v>
      </c>
      <c r="G18" s="69">
        <f t="shared" si="2"/>
        <v>157.93</v>
      </c>
      <c r="H18" s="69">
        <f t="shared" si="2"/>
        <v>0</v>
      </c>
      <c r="I18" s="69">
        <f t="shared" si="2"/>
        <v>0</v>
      </c>
      <c r="J18" s="69">
        <f t="shared" si="2"/>
        <v>0</v>
      </c>
      <c r="K18" s="69">
        <f t="shared" si="2"/>
        <v>0</v>
      </c>
      <c r="L18" s="69">
        <f t="shared" si="2"/>
        <v>0</v>
      </c>
      <c r="M18" s="69">
        <f t="shared" si="2"/>
        <v>0</v>
      </c>
      <c r="N18" s="69">
        <f t="shared" si="2"/>
        <v>2869.66</v>
      </c>
    </row>
    <row r="20" spans="1:14">
      <c r="A20" s="32" t="s">
        <v>524</v>
      </c>
      <c r="B20" s="33"/>
      <c r="C20" s="33"/>
      <c r="D20" s="33"/>
    </row>
    <row r="21" spans="1:14">
      <c r="A21" s="66" t="s">
        <v>84</v>
      </c>
      <c r="B21" s="41" t="s">
        <v>525</v>
      </c>
      <c r="C21" s="41" t="s">
        <v>526</v>
      </c>
      <c r="D21" s="41"/>
    </row>
    <row r="22" spans="1:14">
      <c r="A22" s="70" t="s">
        <v>158</v>
      </c>
      <c r="B22" s="68">
        <f>'CC Detail'!N5</f>
        <v>3800.52</v>
      </c>
      <c r="C22" s="68">
        <f t="shared" ref="C22:C28" si="3">N10</f>
        <v>0</v>
      </c>
      <c r="D22" s="69">
        <f t="shared" ref="D22:D28" si="4">B22+C22</f>
        <v>3800.52</v>
      </c>
    </row>
    <row r="23" spans="1:14">
      <c r="A23" s="70" t="s">
        <v>162</v>
      </c>
      <c r="B23" s="68">
        <f>'CC Detail'!N9</f>
        <v>1912.54</v>
      </c>
      <c r="C23" s="68">
        <f t="shared" si="3"/>
        <v>0</v>
      </c>
      <c r="D23" s="69">
        <f t="shared" si="4"/>
        <v>1912.54</v>
      </c>
    </row>
    <row r="24" spans="1:14">
      <c r="A24" s="70" t="s">
        <v>164</v>
      </c>
      <c r="B24" s="68">
        <f>'CC Detail'!N11</f>
        <v>802.44</v>
      </c>
      <c r="C24" s="68">
        <f t="shared" si="3"/>
        <v>0</v>
      </c>
      <c r="D24" s="69">
        <f t="shared" si="4"/>
        <v>802.44</v>
      </c>
    </row>
    <row r="25" spans="1:14">
      <c r="A25" s="70" t="s">
        <v>165</v>
      </c>
      <c r="B25" s="68">
        <f>'CC Detail'!N12</f>
        <v>233.47999999999996</v>
      </c>
      <c r="C25" s="68">
        <f t="shared" si="3"/>
        <v>0</v>
      </c>
      <c r="D25" s="69">
        <f t="shared" si="4"/>
        <v>233.47999999999996</v>
      </c>
    </row>
    <row r="26" spans="1:14">
      <c r="A26" s="70" t="s">
        <v>166</v>
      </c>
      <c r="B26" s="68">
        <f>'CC Detail'!N13</f>
        <v>997.53</v>
      </c>
      <c r="C26" s="68">
        <f t="shared" si="3"/>
        <v>0</v>
      </c>
      <c r="D26" s="69">
        <f t="shared" si="4"/>
        <v>997.53</v>
      </c>
    </row>
    <row r="27" spans="1:14">
      <c r="A27" s="70" t="s">
        <v>161</v>
      </c>
      <c r="B27" s="68">
        <f>'CC Detail'!N8</f>
        <v>647.59000000000015</v>
      </c>
      <c r="C27" s="68">
        <f t="shared" si="3"/>
        <v>0</v>
      </c>
      <c r="D27" s="69">
        <f t="shared" si="4"/>
        <v>647.59000000000015</v>
      </c>
    </row>
    <row r="28" spans="1:14">
      <c r="A28" s="70" t="s">
        <v>521</v>
      </c>
      <c r="B28" s="68">
        <f>'CC Detail'!N17</f>
        <v>32920.35</v>
      </c>
      <c r="C28" s="68">
        <f t="shared" si="3"/>
        <v>0</v>
      </c>
      <c r="D28" s="69">
        <f t="shared" si="4"/>
        <v>32920.35</v>
      </c>
    </row>
    <row r="29" spans="1:14">
      <c r="A29" s="89" t="s">
        <v>527</v>
      </c>
      <c r="B29" s="86"/>
      <c r="C29" s="86"/>
      <c r="D29" s="86"/>
    </row>
    <row r="30" spans="1:14">
      <c r="A30" s="86"/>
      <c r="B30" s="86"/>
      <c r="C30" s="86"/>
      <c r="D30" s="86"/>
    </row>
    <row r="32" spans="1:14">
      <c r="A32" s="32" t="s">
        <v>528</v>
      </c>
      <c r="B32" s="33"/>
      <c r="C32" s="33"/>
      <c r="D32" s="33"/>
    </row>
    <row r="33" spans="1:4">
      <c r="A33" s="89" t="s">
        <v>529</v>
      </c>
      <c r="B33" s="86"/>
      <c r="C33" s="86"/>
      <c r="D33" s="86"/>
    </row>
    <row r="34" spans="1:4">
      <c r="A34" s="66" t="s">
        <v>530</v>
      </c>
      <c r="B34" s="66" t="s">
        <v>304</v>
      </c>
      <c r="C34" s="41" t="s">
        <v>305</v>
      </c>
      <c r="D34" s="41" t="s">
        <v>307</v>
      </c>
    </row>
  </sheetData>
  <mergeCells count="3">
    <mergeCell ref="A29:D30"/>
    <mergeCell ref="A2:N2"/>
    <mergeCell ref="A33:D33"/>
  </mergeCells>
  <conditionalFormatting sqref="B18:N18">
    <cfRule type="cellIs" dxfId="8" priority="1" operator="notBetween">
      <formula>-1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55A11"/>
  </sheetPr>
  <dimension ref="A1:H80"/>
  <sheetViews>
    <sheetView workbookViewId="0"/>
  </sheetViews>
  <sheetFormatPr defaultRowHeight="15"/>
  <cols>
    <col min="1" max="1" width="34" customWidth="1"/>
    <col min="2" max="8" width="13" customWidth="1"/>
  </cols>
  <sheetData>
    <row r="1" spans="1:8" ht="18.75">
      <c r="A1" s="31" t="s">
        <v>531</v>
      </c>
    </row>
    <row r="2" spans="1:8" ht="44.1" customHeight="1">
      <c r="A2" s="90" t="s">
        <v>532</v>
      </c>
      <c r="B2" s="86"/>
      <c r="C2" s="86"/>
      <c r="D2" s="86"/>
      <c r="E2" s="86"/>
      <c r="F2" s="86"/>
      <c r="G2" s="86"/>
      <c r="H2" s="86"/>
    </row>
    <row r="4" spans="1:8">
      <c r="A4" s="32" t="s">
        <v>533</v>
      </c>
      <c r="B4" s="33"/>
      <c r="C4" s="33"/>
      <c r="D4" s="33"/>
      <c r="E4" s="33"/>
      <c r="F4" s="33"/>
      <c r="G4" s="33"/>
      <c r="H4" s="33"/>
    </row>
    <row r="5" spans="1:8">
      <c r="A5" t="s">
        <v>534</v>
      </c>
      <c r="B5" s="61">
        <f>'Solar ROI'!N5</f>
        <v>33318</v>
      </c>
    </row>
    <row r="6" spans="1:8">
      <c r="A6" t="s">
        <v>535</v>
      </c>
      <c r="B6" s="38">
        <v>0</v>
      </c>
      <c r="C6" s="89" t="s">
        <v>536</v>
      </c>
      <c r="D6" s="86"/>
      <c r="E6" s="86"/>
      <c r="F6" s="86"/>
      <c r="G6" s="86"/>
      <c r="H6" s="86"/>
    </row>
    <row r="7" spans="1:8">
      <c r="A7" t="s">
        <v>537</v>
      </c>
      <c r="B7" s="61">
        <f>MIN(1000,0.15*B5)</f>
        <v>1000</v>
      </c>
    </row>
    <row r="8" spans="1:8">
      <c r="A8" t="s">
        <v>538</v>
      </c>
      <c r="B8" s="38">
        <v>0</v>
      </c>
    </row>
    <row r="9" spans="1:8">
      <c r="A9" s="51" t="s">
        <v>539</v>
      </c>
      <c r="B9" s="52">
        <f>B5-B6-B7-B8</f>
        <v>32318</v>
      </c>
    </row>
    <row r="11" spans="1:8">
      <c r="A11" s="32" t="s">
        <v>540</v>
      </c>
      <c r="B11" s="33"/>
      <c r="C11" s="33"/>
      <c r="D11" s="33"/>
      <c r="E11" s="33"/>
      <c r="F11" s="33"/>
      <c r="G11" s="33"/>
      <c r="H11" s="33"/>
    </row>
    <row r="12" spans="1:8">
      <c r="A12" s="92" t="s">
        <v>541</v>
      </c>
      <c r="B12" s="86"/>
      <c r="C12" s="86"/>
      <c r="D12" s="86"/>
      <c r="E12" s="86"/>
      <c r="F12" s="86"/>
      <c r="G12" s="86"/>
      <c r="H12" s="86"/>
    </row>
    <row r="13" spans="1:8">
      <c r="A13" s="66" t="s">
        <v>286</v>
      </c>
      <c r="B13" s="41" t="s">
        <v>542</v>
      </c>
      <c r="C13" s="41" t="s">
        <v>543</v>
      </c>
      <c r="D13" s="41" t="s">
        <v>544</v>
      </c>
      <c r="E13" s="41" t="s">
        <v>545</v>
      </c>
      <c r="F13" s="41" t="s">
        <v>546</v>
      </c>
    </row>
    <row r="14" spans="1:8">
      <c r="A14" s="70" t="s">
        <v>85</v>
      </c>
      <c r="B14" s="73"/>
      <c r="C14" s="73"/>
      <c r="D14" s="73"/>
      <c r="E14" s="73"/>
      <c r="F14" s="74">
        <f t="shared" ref="F14:F25" si="0">E14-D14</f>
        <v>0</v>
      </c>
    </row>
    <row r="15" spans="1:8">
      <c r="A15" s="70" t="s">
        <v>86</v>
      </c>
      <c r="B15" s="73"/>
      <c r="C15" s="73"/>
      <c r="D15" s="73"/>
      <c r="E15" s="73"/>
      <c r="F15" s="74">
        <f t="shared" si="0"/>
        <v>0</v>
      </c>
    </row>
    <row r="16" spans="1:8">
      <c r="A16" s="70" t="s">
        <v>87</v>
      </c>
      <c r="B16" s="73">
        <v>133.1</v>
      </c>
      <c r="C16" s="73">
        <v>661.4</v>
      </c>
      <c r="D16" s="73">
        <v>528.29999999999995</v>
      </c>
      <c r="E16" s="73">
        <v>0</v>
      </c>
      <c r="F16" s="74">
        <f t="shared" si="0"/>
        <v>-528.29999999999995</v>
      </c>
    </row>
    <row r="17" spans="1:8">
      <c r="A17" s="70" t="s">
        <v>88</v>
      </c>
      <c r="B17" s="73">
        <v>314.2</v>
      </c>
      <c r="C17" s="73">
        <v>102.6</v>
      </c>
      <c r="D17" s="73">
        <v>50.1</v>
      </c>
      <c r="E17" s="73">
        <v>261.7</v>
      </c>
      <c r="F17" s="74">
        <f t="shared" si="0"/>
        <v>211.6</v>
      </c>
    </row>
    <row r="18" spans="1:8">
      <c r="A18" s="70" t="s">
        <v>89</v>
      </c>
      <c r="B18" s="73">
        <v>997.1</v>
      </c>
      <c r="C18" s="73">
        <v>475.1</v>
      </c>
      <c r="D18" s="73">
        <v>246.7</v>
      </c>
      <c r="E18" s="73">
        <v>768.7</v>
      </c>
      <c r="F18" s="74">
        <f t="shared" si="0"/>
        <v>522</v>
      </c>
    </row>
    <row r="19" spans="1:8">
      <c r="A19" s="70" t="s">
        <v>90</v>
      </c>
      <c r="B19" s="73">
        <v>1128.0999999999999</v>
      </c>
      <c r="C19" s="73">
        <v>784.5</v>
      </c>
      <c r="D19" s="73">
        <v>383</v>
      </c>
      <c r="E19" s="73">
        <v>726.6</v>
      </c>
      <c r="F19" s="74">
        <f t="shared" si="0"/>
        <v>343.6</v>
      </c>
    </row>
    <row r="20" spans="1:8">
      <c r="A20" s="70" t="s">
        <v>91</v>
      </c>
      <c r="B20" s="73">
        <v>1058.5</v>
      </c>
      <c r="C20" s="73">
        <v>964.6</v>
      </c>
      <c r="D20" s="73">
        <v>507.4</v>
      </c>
      <c r="E20" s="73">
        <v>601.29999999999995</v>
      </c>
      <c r="F20" s="74">
        <f t="shared" si="0"/>
        <v>93.899999999999977</v>
      </c>
    </row>
    <row r="21" spans="1:8">
      <c r="A21" s="70" t="s">
        <v>92</v>
      </c>
      <c r="B21" s="73">
        <v>919.3</v>
      </c>
      <c r="C21" s="73">
        <v>938.4</v>
      </c>
      <c r="D21" s="73">
        <v>531.1</v>
      </c>
      <c r="E21" s="73">
        <v>512</v>
      </c>
      <c r="F21" s="74">
        <f t="shared" si="0"/>
        <v>-19.100000000000023</v>
      </c>
    </row>
    <row r="22" spans="1:8">
      <c r="A22" s="70" t="s">
        <v>93</v>
      </c>
      <c r="B22" s="73"/>
      <c r="C22" s="73"/>
      <c r="D22" s="73"/>
      <c r="E22" s="73"/>
      <c r="F22" s="74">
        <f t="shared" si="0"/>
        <v>0</v>
      </c>
    </row>
    <row r="23" spans="1:8">
      <c r="A23" s="70" t="s">
        <v>94</v>
      </c>
      <c r="B23" s="73"/>
      <c r="C23" s="73"/>
      <c r="D23" s="73"/>
      <c r="E23" s="73"/>
      <c r="F23" s="74">
        <f t="shared" si="0"/>
        <v>0</v>
      </c>
    </row>
    <row r="24" spans="1:8">
      <c r="A24" s="70" t="s">
        <v>95</v>
      </c>
      <c r="B24" s="73"/>
      <c r="C24" s="73"/>
      <c r="D24" s="73"/>
      <c r="E24" s="73"/>
      <c r="F24" s="74">
        <f t="shared" si="0"/>
        <v>0</v>
      </c>
    </row>
    <row r="25" spans="1:8">
      <c r="A25" s="70" t="s">
        <v>96</v>
      </c>
      <c r="B25" s="73"/>
      <c r="C25" s="73"/>
      <c r="D25" s="73"/>
      <c r="E25" s="73"/>
      <c r="F25" s="74">
        <f t="shared" si="0"/>
        <v>0</v>
      </c>
    </row>
    <row r="26" spans="1:8">
      <c r="A26" s="67" t="s">
        <v>547</v>
      </c>
      <c r="B26" s="75">
        <f>SUM(B14:B25)</f>
        <v>4550.3</v>
      </c>
      <c r="C26" s="75">
        <f>SUM(C14:C25)</f>
        <v>3926.6</v>
      </c>
      <c r="D26" s="75">
        <f>SUM(D14:D25)</f>
        <v>2246.6</v>
      </c>
      <c r="E26" s="75">
        <f>SUM(E14:E25)</f>
        <v>2870.3</v>
      </c>
      <c r="F26" s="75">
        <f>SUM(F14:F25)</f>
        <v>623.70000000000005</v>
      </c>
    </row>
    <row r="27" spans="1:8">
      <c r="A27" s="89" t="s">
        <v>548</v>
      </c>
      <c r="B27" s="86"/>
      <c r="C27" s="86"/>
      <c r="D27" s="86"/>
      <c r="E27" s="86"/>
      <c r="F27" s="86"/>
      <c r="G27" s="86"/>
      <c r="H27" s="86"/>
    </row>
    <row r="28" spans="1:8">
      <c r="A28" s="86"/>
      <c r="B28" s="86"/>
      <c r="C28" s="86"/>
      <c r="D28" s="86"/>
      <c r="E28" s="86"/>
      <c r="F28" s="86"/>
      <c r="G28" s="86"/>
      <c r="H28" s="86"/>
    </row>
    <row r="30" spans="1:8">
      <c r="A30" s="32" t="s">
        <v>549</v>
      </c>
      <c r="B30" s="33"/>
      <c r="C30" s="33"/>
      <c r="D30" s="33"/>
      <c r="E30" s="33"/>
      <c r="F30" s="33"/>
      <c r="G30" s="33"/>
      <c r="H30" s="33"/>
    </row>
    <row r="31" spans="1:8">
      <c r="A31" t="s">
        <v>550</v>
      </c>
      <c r="B31" s="38">
        <v>166</v>
      </c>
      <c r="C31" s="92" t="s">
        <v>551</v>
      </c>
      <c r="D31" s="86"/>
      <c r="E31" s="86"/>
      <c r="F31" s="86"/>
      <c r="G31" s="86"/>
      <c r="H31" s="86"/>
    </row>
    <row r="32" spans="1:8">
      <c r="A32" t="s">
        <v>552</v>
      </c>
      <c r="B32" s="38">
        <v>95</v>
      </c>
      <c r="C32" s="92" t="s">
        <v>553</v>
      </c>
      <c r="D32" s="86"/>
      <c r="E32" s="86"/>
      <c r="F32" s="86"/>
      <c r="G32" s="86"/>
      <c r="H32" s="86"/>
    </row>
    <row r="33" spans="1:8">
      <c r="A33" s="51" t="s">
        <v>554</v>
      </c>
      <c r="B33" s="76">
        <f>MAX(0,B31-B32)</f>
        <v>71</v>
      </c>
    </row>
    <row r="34" spans="1:8">
      <c r="A34" t="s">
        <v>555</v>
      </c>
      <c r="B34" s="61">
        <f>B33*12</f>
        <v>852</v>
      </c>
    </row>
    <row r="35" spans="1:8">
      <c r="A35" t="s">
        <v>556</v>
      </c>
      <c r="B35" s="77">
        <v>0.03</v>
      </c>
    </row>
    <row r="36" spans="1:8">
      <c r="A36" t="s">
        <v>557</v>
      </c>
      <c r="B36" s="78">
        <v>7000</v>
      </c>
      <c r="C36" s="92" t="s">
        <v>558</v>
      </c>
      <c r="D36" s="86"/>
      <c r="E36" s="86"/>
      <c r="F36" s="86"/>
      <c r="G36" s="86"/>
      <c r="H36" s="86"/>
    </row>
    <row r="37" spans="1:8">
      <c r="A37" t="s">
        <v>559</v>
      </c>
      <c r="B37" s="61">
        <f>B35*B36</f>
        <v>210</v>
      </c>
    </row>
    <row r="38" spans="1:8">
      <c r="A38" t="s">
        <v>560</v>
      </c>
      <c r="B38" s="77">
        <v>0.3</v>
      </c>
      <c r="C38" s="92" t="s">
        <v>561</v>
      </c>
      <c r="D38" s="86"/>
      <c r="E38" s="86"/>
      <c r="F38" s="86"/>
      <c r="G38" s="86"/>
      <c r="H38" s="86"/>
    </row>
    <row r="40" spans="1:8">
      <c r="A40" s="32" t="s">
        <v>562</v>
      </c>
      <c r="B40" s="33"/>
      <c r="C40" s="33"/>
      <c r="D40" s="33"/>
      <c r="E40" s="33"/>
      <c r="F40" s="33"/>
      <c r="G40" s="33"/>
      <c r="H40" s="33"/>
    </row>
    <row r="41" spans="1:8">
      <c r="A41" t="s">
        <v>563</v>
      </c>
      <c r="B41" s="39">
        <v>7.0000000000000007E-2</v>
      </c>
      <c r="C41" s="92" t="s">
        <v>459</v>
      </c>
      <c r="D41" s="86"/>
      <c r="E41" s="86"/>
      <c r="F41" s="86"/>
      <c r="G41" s="86"/>
      <c r="H41" s="86"/>
    </row>
    <row r="42" spans="1:8">
      <c r="A42" t="s">
        <v>564</v>
      </c>
      <c r="B42" s="39">
        <v>0.04</v>
      </c>
    </row>
    <row r="43" spans="1:8">
      <c r="A43" t="s">
        <v>565</v>
      </c>
      <c r="B43" s="37">
        <v>25</v>
      </c>
    </row>
    <row r="44" spans="1:8">
      <c r="A44" t="s">
        <v>566</v>
      </c>
      <c r="B44" s="37">
        <v>2026</v>
      </c>
    </row>
    <row r="46" spans="1:8" ht="27.95" customHeight="1">
      <c r="A46" s="53" t="s">
        <v>439</v>
      </c>
      <c r="B46" s="53" t="s">
        <v>567</v>
      </c>
      <c r="C46" s="53" t="s">
        <v>568</v>
      </c>
      <c r="D46" s="53" t="s">
        <v>569</v>
      </c>
      <c r="E46" s="53" t="s">
        <v>570</v>
      </c>
      <c r="F46" s="53" t="s">
        <v>571</v>
      </c>
      <c r="G46" s="53" t="s">
        <v>572</v>
      </c>
      <c r="H46" s="53" t="s">
        <v>573</v>
      </c>
    </row>
    <row r="47" spans="1:8">
      <c r="A47" s="43">
        <v>1</v>
      </c>
      <c r="B47" s="79">
        <f t="shared" ref="B47:B71" si="1">$B$44+(A47-1)</f>
        <v>2026</v>
      </c>
      <c r="C47" s="56">
        <f t="shared" ref="C47:C71" si="2">$B$34*(1+$B$42)^(A47-1)</f>
        <v>852</v>
      </c>
      <c r="D47" s="56">
        <f t="shared" ref="D47:D71" si="3">IF(A47&lt;=10,$B$37,0)</f>
        <v>210</v>
      </c>
      <c r="E47" s="56">
        <f t="shared" ref="E47:E71" si="4">C47+D47</f>
        <v>1062</v>
      </c>
      <c r="F47" s="72">
        <f>E47</f>
        <v>1062</v>
      </c>
      <c r="G47" s="56">
        <f>E47</f>
        <v>1062</v>
      </c>
      <c r="H47" s="70" t="str">
        <f t="shared" ref="H47:H71" si="5">IF(F47&gt;=$B$9,"◄ accelerated payback",IF(G47&gt;=$B$9,"simple payback",""))</f>
        <v/>
      </c>
    </row>
    <row r="48" spans="1:8">
      <c r="A48" s="43">
        <v>2</v>
      </c>
      <c r="B48" s="79">
        <f t="shared" si="1"/>
        <v>2027</v>
      </c>
      <c r="C48" s="56">
        <f t="shared" si="2"/>
        <v>886.08</v>
      </c>
      <c r="D48" s="56">
        <f t="shared" si="3"/>
        <v>210</v>
      </c>
      <c r="E48" s="56">
        <f t="shared" si="4"/>
        <v>1096.08</v>
      </c>
      <c r="F48" s="72">
        <f t="shared" ref="F48:F71" si="6">F47*(1+$B$41)+E48</f>
        <v>2232.42</v>
      </c>
      <c r="G48" s="56">
        <f t="shared" ref="G48:G71" si="7">G47+E48</f>
        <v>2158.08</v>
      </c>
      <c r="H48" s="70" t="str">
        <f t="shared" si="5"/>
        <v/>
      </c>
    </row>
    <row r="49" spans="1:8">
      <c r="A49" s="43">
        <v>3</v>
      </c>
      <c r="B49" s="79">
        <f t="shared" si="1"/>
        <v>2028</v>
      </c>
      <c r="C49" s="56">
        <f t="shared" si="2"/>
        <v>921.52320000000009</v>
      </c>
      <c r="D49" s="56">
        <f t="shared" si="3"/>
        <v>210</v>
      </c>
      <c r="E49" s="56">
        <f t="shared" si="4"/>
        <v>1131.5232000000001</v>
      </c>
      <c r="F49" s="72">
        <f t="shared" si="6"/>
        <v>3520.2126000000003</v>
      </c>
      <c r="G49" s="56">
        <f t="shared" si="7"/>
        <v>3289.6032</v>
      </c>
      <c r="H49" s="70" t="str">
        <f t="shared" si="5"/>
        <v/>
      </c>
    </row>
    <row r="50" spans="1:8">
      <c r="A50" s="43">
        <v>4</v>
      </c>
      <c r="B50" s="79">
        <f t="shared" si="1"/>
        <v>2029</v>
      </c>
      <c r="C50" s="56">
        <f t="shared" si="2"/>
        <v>958.38412800000003</v>
      </c>
      <c r="D50" s="56">
        <f t="shared" si="3"/>
        <v>210</v>
      </c>
      <c r="E50" s="56">
        <f t="shared" si="4"/>
        <v>1168.3841280000001</v>
      </c>
      <c r="F50" s="72">
        <f t="shared" si="6"/>
        <v>4935.0116100000005</v>
      </c>
      <c r="G50" s="56">
        <f t="shared" si="7"/>
        <v>4457.9873280000002</v>
      </c>
      <c r="H50" s="70" t="str">
        <f t="shared" si="5"/>
        <v/>
      </c>
    </row>
    <row r="51" spans="1:8">
      <c r="A51" s="43">
        <v>5</v>
      </c>
      <c r="B51" s="79">
        <f t="shared" si="1"/>
        <v>2030</v>
      </c>
      <c r="C51" s="56">
        <f t="shared" si="2"/>
        <v>996.71949312000015</v>
      </c>
      <c r="D51" s="56">
        <f t="shared" si="3"/>
        <v>210</v>
      </c>
      <c r="E51" s="56">
        <f t="shared" si="4"/>
        <v>1206.7194931200002</v>
      </c>
      <c r="F51" s="72">
        <f t="shared" si="6"/>
        <v>6487.1819158200005</v>
      </c>
      <c r="G51" s="56">
        <f t="shared" si="7"/>
        <v>5664.7068211200003</v>
      </c>
      <c r="H51" s="70" t="str">
        <f t="shared" si="5"/>
        <v/>
      </c>
    </row>
    <row r="52" spans="1:8">
      <c r="A52" s="43">
        <v>6</v>
      </c>
      <c r="B52" s="79">
        <f t="shared" si="1"/>
        <v>2031</v>
      </c>
      <c r="C52" s="56">
        <f t="shared" si="2"/>
        <v>1036.5882728448003</v>
      </c>
      <c r="D52" s="56">
        <f t="shared" si="3"/>
        <v>210</v>
      </c>
      <c r="E52" s="56">
        <f t="shared" si="4"/>
        <v>1246.5882728448003</v>
      </c>
      <c r="F52" s="72">
        <f t="shared" si="6"/>
        <v>8187.8729227722015</v>
      </c>
      <c r="G52" s="56">
        <f t="shared" si="7"/>
        <v>6911.2950939648008</v>
      </c>
      <c r="H52" s="70" t="str">
        <f t="shared" si="5"/>
        <v/>
      </c>
    </row>
    <row r="53" spans="1:8">
      <c r="A53" s="43">
        <v>7</v>
      </c>
      <c r="B53" s="79">
        <f t="shared" si="1"/>
        <v>2032</v>
      </c>
      <c r="C53" s="56">
        <f t="shared" si="2"/>
        <v>1078.0518037585923</v>
      </c>
      <c r="D53" s="56">
        <f t="shared" si="3"/>
        <v>210</v>
      </c>
      <c r="E53" s="56">
        <f t="shared" si="4"/>
        <v>1288.0518037585923</v>
      </c>
      <c r="F53" s="72">
        <f t="shared" si="6"/>
        <v>10049.075831124848</v>
      </c>
      <c r="G53" s="56">
        <f t="shared" si="7"/>
        <v>8199.3468977233933</v>
      </c>
      <c r="H53" s="70" t="str">
        <f t="shared" si="5"/>
        <v/>
      </c>
    </row>
    <row r="54" spans="1:8">
      <c r="A54" s="43">
        <v>8</v>
      </c>
      <c r="B54" s="79">
        <f t="shared" si="1"/>
        <v>2033</v>
      </c>
      <c r="C54" s="56">
        <f t="shared" si="2"/>
        <v>1121.173875908936</v>
      </c>
      <c r="D54" s="56">
        <f t="shared" si="3"/>
        <v>210</v>
      </c>
      <c r="E54" s="56">
        <f t="shared" si="4"/>
        <v>1331.173875908936</v>
      </c>
      <c r="F54" s="72">
        <f t="shared" si="6"/>
        <v>12083.685015212524</v>
      </c>
      <c r="G54" s="56">
        <f t="shared" si="7"/>
        <v>9530.52077363233</v>
      </c>
      <c r="H54" s="70" t="str">
        <f t="shared" si="5"/>
        <v/>
      </c>
    </row>
    <row r="55" spans="1:8">
      <c r="A55" s="43">
        <v>9</v>
      </c>
      <c r="B55" s="79">
        <f t="shared" si="1"/>
        <v>2034</v>
      </c>
      <c r="C55" s="56">
        <f t="shared" si="2"/>
        <v>1166.0208309452935</v>
      </c>
      <c r="D55" s="56">
        <f t="shared" si="3"/>
        <v>210</v>
      </c>
      <c r="E55" s="56">
        <f t="shared" si="4"/>
        <v>1376.0208309452935</v>
      </c>
      <c r="F55" s="72">
        <f t="shared" si="6"/>
        <v>14305.563797222696</v>
      </c>
      <c r="G55" s="56">
        <f t="shared" si="7"/>
        <v>10906.541604577624</v>
      </c>
      <c r="H55" s="70" t="str">
        <f t="shared" si="5"/>
        <v/>
      </c>
    </row>
    <row r="56" spans="1:8">
      <c r="A56" s="43">
        <v>10</v>
      </c>
      <c r="B56" s="79">
        <f t="shared" si="1"/>
        <v>2035</v>
      </c>
      <c r="C56" s="56">
        <f t="shared" si="2"/>
        <v>1212.6616641831054</v>
      </c>
      <c r="D56" s="56">
        <f t="shared" si="3"/>
        <v>210</v>
      </c>
      <c r="E56" s="56">
        <f t="shared" si="4"/>
        <v>1422.6616641831054</v>
      </c>
      <c r="F56" s="72">
        <f t="shared" si="6"/>
        <v>16729.614927211391</v>
      </c>
      <c r="G56" s="56">
        <f t="shared" si="7"/>
        <v>12329.20326876073</v>
      </c>
      <c r="H56" s="70" t="str">
        <f t="shared" si="5"/>
        <v/>
      </c>
    </row>
    <row r="57" spans="1:8">
      <c r="A57" s="43">
        <v>11</v>
      </c>
      <c r="B57" s="79">
        <f t="shared" si="1"/>
        <v>2036</v>
      </c>
      <c r="C57" s="56">
        <f t="shared" si="2"/>
        <v>1261.1681307504296</v>
      </c>
      <c r="D57" s="56">
        <f t="shared" si="3"/>
        <v>0</v>
      </c>
      <c r="E57" s="56">
        <f t="shared" si="4"/>
        <v>1261.1681307504296</v>
      </c>
      <c r="F57" s="72">
        <f t="shared" si="6"/>
        <v>19161.856102866619</v>
      </c>
      <c r="G57" s="56">
        <f t="shared" si="7"/>
        <v>13590.371399511159</v>
      </c>
      <c r="H57" s="70" t="str">
        <f t="shared" si="5"/>
        <v/>
      </c>
    </row>
    <row r="58" spans="1:8">
      <c r="A58" s="43">
        <v>12</v>
      </c>
      <c r="B58" s="79">
        <f t="shared" si="1"/>
        <v>2037</v>
      </c>
      <c r="C58" s="56">
        <f t="shared" si="2"/>
        <v>1311.6148559804467</v>
      </c>
      <c r="D58" s="56">
        <f t="shared" si="3"/>
        <v>0</v>
      </c>
      <c r="E58" s="56">
        <f t="shared" si="4"/>
        <v>1311.6148559804467</v>
      </c>
      <c r="F58" s="72">
        <f t="shared" si="6"/>
        <v>21814.800886047731</v>
      </c>
      <c r="G58" s="56">
        <f t="shared" si="7"/>
        <v>14901.986255491605</v>
      </c>
      <c r="H58" s="70" t="str">
        <f t="shared" si="5"/>
        <v/>
      </c>
    </row>
    <row r="59" spans="1:8">
      <c r="A59" s="43">
        <v>13</v>
      </c>
      <c r="B59" s="79">
        <f t="shared" si="1"/>
        <v>2038</v>
      </c>
      <c r="C59" s="56">
        <f t="shared" si="2"/>
        <v>1364.0794502196647</v>
      </c>
      <c r="D59" s="56">
        <f t="shared" si="3"/>
        <v>0</v>
      </c>
      <c r="E59" s="56">
        <f t="shared" si="4"/>
        <v>1364.0794502196647</v>
      </c>
      <c r="F59" s="72">
        <f t="shared" si="6"/>
        <v>24705.916398290741</v>
      </c>
      <c r="G59" s="56">
        <f t="shared" si="7"/>
        <v>16266.065705711269</v>
      </c>
      <c r="H59" s="70" t="str">
        <f t="shared" si="5"/>
        <v/>
      </c>
    </row>
    <row r="60" spans="1:8">
      <c r="A60" s="43">
        <v>14</v>
      </c>
      <c r="B60" s="79">
        <f t="shared" si="1"/>
        <v>2039</v>
      </c>
      <c r="C60" s="56">
        <f t="shared" si="2"/>
        <v>1418.6426282284515</v>
      </c>
      <c r="D60" s="56">
        <f t="shared" si="3"/>
        <v>0</v>
      </c>
      <c r="E60" s="56">
        <f t="shared" si="4"/>
        <v>1418.6426282284515</v>
      </c>
      <c r="F60" s="72">
        <f t="shared" si="6"/>
        <v>27853.973174399547</v>
      </c>
      <c r="G60" s="56">
        <f t="shared" si="7"/>
        <v>17684.708333939721</v>
      </c>
      <c r="H60" s="70" t="str">
        <f t="shared" si="5"/>
        <v/>
      </c>
    </row>
    <row r="61" spans="1:8">
      <c r="A61" s="43">
        <v>15</v>
      </c>
      <c r="B61" s="79">
        <f t="shared" si="1"/>
        <v>2040</v>
      </c>
      <c r="C61" s="56">
        <f t="shared" si="2"/>
        <v>1475.3883333575895</v>
      </c>
      <c r="D61" s="56">
        <f t="shared" si="3"/>
        <v>0</v>
      </c>
      <c r="E61" s="56">
        <f t="shared" si="4"/>
        <v>1475.3883333575895</v>
      </c>
      <c r="F61" s="72">
        <f t="shared" si="6"/>
        <v>31279.139629965106</v>
      </c>
      <c r="G61" s="56">
        <f t="shared" si="7"/>
        <v>19160.096667297312</v>
      </c>
      <c r="H61" s="70" t="str">
        <f t="shared" si="5"/>
        <v/>
      </c>
    </row>
    <row r="62" spans="1:8">
      <c r="A62" s="43">
        <v>16</v>
      </c>
      <c r="B62" s="79">
        <f t="shared" si="1"/>
        <v>2041</v>
      </c>
      <c r="C62" s="56">
        <f t="shared" si="2"/>
        <v>1534.403866691893</v>
      </c>
      <c r="D62" s="56">
        <f t="shared" si="3"/>
        <v>0</v>
      </c>
      <c r="E62" s="56">
        <f t="shared" si="4"/>
        <v>1534.403866691893</v>
      </c>
      <c r="F62" s="72">
        <f t="shared" si="6"/>
        <v>35003.083270754556</v>
      </c>
      <c r="G62" s="56">
        <f t="shared" si="7"/>
        <v>20694.500533989205</v>
      </c>
      <c r="H62" s="70" t="str">
        <f t="shared" si="5"/>
        <v>◄ accelerated payback</v>
      </c>
    </row>
    <row r="63" spans="1:8">
      <c r="A63" s="43">
        <v>17</v>
      </c>
      <c r="B63" s="79">
        <f t="shared" si="1"/>
        <v>2042</v>
      </c>
      <c r="C63" s="56">
        <f t="shared" si="2"/>
        <v>1595.780021359569</v>
      </c>
      <c r="D63" s="56">
        <f t="shared" si="3"/>
        <v>0</v>
      </c>
      <c r="E63" s="56">
        <f t="shared" si="4"/>
        <v>1595.780021359569</v>
      </c>
      <c r="F63" s="72">
        <f t="shared" si="6"/>
        <v>39049.079121066949</v>
      </c>
      <c r="G63" s="56">
        <f t="shared" si="7"/>
        <v>22290.280555348774</v>
      </c>
      <c r="H63" s="70" t="str">
        <f t="shared" si="5"/>
        <v>◄ accelerated payback</v>
      </c>
    </row>
    <row r="64" spans="1:8">
      <c r="A64" s="43">
        <v>18</v>
      </c>
      <c r="B64" s="79">
        <f t="shared" si="1"/>
        <v>2043</v>
      </c>
      <c r="C64" s="56">
        <f t="shared" si="2"/>
        <v>1659.6112222139518</v>
      </c>
      <c r="D64" s="56">
        <f t="shared" si="3"/>
        <v>0</v>
      </c>
      <c r="E64" s="56">
        <f t="shared" si="4"/>
        <v>1659.6112222139518</v>
      </c>
      <c r="F64" s="72">
        <f t="shared" si="6"/>
        <v>43442.125881755586</v>
      </c>
      <c r="G64" s="56">
        <f t="shared" si="7"/>
        <v>23949.891777562727</v>
      </c>
      <c r="H64" s="70" t="str">
        <f t="shared" si="5"/>
        <v>◄ accelerated payback</v>
      </c>
    </row>
    <row r="65" spans="1:8">
      <c r="A65" s="43">
        <v>19</v>
      </c>
      <c r="B65" s="79">
        <f t="shared" si="1"/>
        <v>2044</v>
      </c>
      <c r="C65" s="56">
        <f t="shared" si="2"/>
        <v>1725.9956711025102</v>
      </c>
      <c r="D65" s="56">
        <f t="shared" si="3"/>
        <v>0</v>
      </c>
      <c r="E65" s="56">
        <f t="shared" si="4"/>
        <v>1725.9956711025102</v>
      </c>
      <c r="F65" s="72">
        <f t="shared" si="6"/>
        <v>48209.070364580984</v>
      </c>
      <c r="G65" s="56">
        <f t="shared" si="7"/>
        <v>25675.887448665238</v>
      </c>
      <c r="H65" s="70" t="str">
        <f t="shared" si="5"/>
        <v>◄ accelerated payback</v>
      </c>
    </row>
    <row r="66" spans="1:8">
      <c r="A66" s="43">
        <v>20</v>
      </c>
      <c r="B66" s="79">
        <f t="shared" si="1"/>
        <v>2045</v>
      </c>
      <c r="C66" s="56">
        <f t="shared" si="2"/>
        <v>1795.0354979466106</v>
      </c>
      <c r="D66" s="56">
        <f t="shared" si="3"/>
        <v>0</v>
      </c>
      <c r="E66" s="56">
        <f t="shared" si="4"/>
        <v>1795.0354979466106</v>
      </c>
      <c r="F66" s="72">
        <f t="shared" si="6"/>
        <v>53378.740788048271</v>
      </c>
      <c r="G66" s="56">
        <f t="shared" si="7"/>
        <v>27470.922946611849</v>
      </c>
      <c r="H66" s="70" t="str">
        <f t="shared" si="5"/>
        <v>◄ accelerated payback</v>
      </c>
    </row>
    <row r="67" spans="1:8">
      <c r="A67" s="43">
        <v>21</v>
      </c>
      <c r="B67" s="79">
        <f t="shared" si="1"/>
        <v>2046</v>
      </c>
      <c r="C67" s="56">
        <f t="shared" si="2"/>
        <v>1866.836917864475</v>
      </c>
      <c r="D67" s="56">
        <f t="shared" si="3"/>
        <v>0</v>
      </c>
      <c r="E67" s="56">
        <f t="shared" si="4"/>
        <v>1866.836917864475</v>
      </c>
      <c r="F67" s="72">
        <f t="shared" si="6"/>
        <v>58982.089561076129</v>
      </c>
      <c r="G67" s="56">
        <f t="shared" si="7"/>
        <v>29337.759864476324</v>
      </c>
      <c r="H67" s="70" t="str">
        <f t="shared" si="5"/>
        <v>◄ accelerated payback</v>
      </c>
    </row>
    <row r="68" spans="1:8">
      <c r="A68" s="43">
        <v>22</v>
      </c>
      <c r="B68" s="79">
        <f t="shared" si="1"/>
        <v>2047</v>
      </c>
      <c r="C68" s="56">
        <f t="shared" si="2"/>
        <v>1941.5103945790545</v>
      </c>
      <c r="D68" s="56">
        <f t="shared" si="3"/>
        <v>0</v>
      </c>
      <c r="E68" s="56">
        <f t="shared" si="4"/>
        <v>1941.5103945790545</v>
      </c>
      <c r="F68" s="72">
        <f t="shared" si="6"/>
        <v>65052.346224930516</v>
      </c>
      <c r="G68" s="56">
        <f t="shared" si="7"/>
        <v>31279.270259055378</v>
      </c>
      <c r="H68" s="70" t="str">
        <f t="shared" si="5"/>
        <v>◄ accelerated payback</v>
      </c>
    </row>
    <row r="69" spans="1:8">
      <c r="A69" s="43">
        <v>23</v>
      </c>
      <c r="B69" s="79">
        <f t="shared" si="1"/>
        <v>2048</v>
      </c>
      <c r="C69" s="56">
        <f t="shared" si="2"/>
        <v>2019.1708103622163</v>
      </c>
      <c r="D69" s="56">
        <f t="shared" si="3"/>
        <v>0</v>
      </c>
      <c r="E69" s="56">
        <f t="shared" si="4"/>
        <v>2019.1708103622163</v>
      </c>
      <c r="F69" s="72">
        <f t="shared" si="6"/>
        <v>71625.181271037873</v>
      </c>
      <c r="G69" s="56">
        <f t="shared" si="7"/>
        <v>33298.441069417597</v>
      </c>
      <c r="H69" s="70" t="str">
        <f t="shared" si="5"/>
        <v>◄ accelerated payback</v>
      </c>
    </row>
    <row r="70" spans="1:8">
      <c r="A70" s="43">
        <v>24</v>
      </c>
      <c r="B70" s="79">
        <f t="shared" si="1"/>
        <v>2049</v>
      </c>
      <c r="C70" s="56">
        <f t="shared" si="2"/>
        <v>2099.9376427767047</v>
      </c>
      <c r="D70" s="56">
        <f t="shared" si="3"/>
        <v>0</v>
      </c>
      <c r="E70" s="56">
        <f t="shared" si="4"/>
        <v>2099.9376427767047</v>
      </c>
      <c r="F70" s="72">
        <f t="shared" si="6"/>
        <v>78738.881602787224</v>
      </c>
      <c r="G70" s="56">
        <f t="shared" si="7"/>
        <v>35398.378712194302</v>
      </c>
      <c r="H70" s="70" t="str">
        <f t="shared" si="5"/>
        <v>◄ accelerated payback</v>
      </c>
    </row>
    <row r="71" spans="1:8">
      <c r="A71" s="43">
        <v>25</v>
      </c>
      <c r="B71" s="79">
        <f t="shared" si="1"/>
        <v>2050</v>
      </c>
      <c r="C71" s="56">
        <f t="shared" si="2"/>
        <v>2183.9351484877734</v>
      </c>
      <c r="D71" s="56">
        <f t="shared" si="3"/>
        <v>0</v>
      </c>
      <c r="E71" s="56">
        <f t="shared" si="4"/>
        <v>2183.9351484877734</v>
      </c>
      <c r="F71" s="72">
        <f t="shared" si="6"/>
        <v>86434.538463470104</v>
      </c>
      <c r="G71" s="56">
        <f t="shared" si="7"/>
        <v>37582.313860682072</v>
      </c>
      <c r="H71" s="70" t="str">
        <f t="shared" si="5"/>
        <v>◄ accelerated payback</v>
      </c>
    </row>
    <row r="73" spans="1:8">
      <c r="A73" s="51" t="s">
        <v>574</v>
      </c>
      <c r="C73" s="57">
        <f>IFERROR(INDEX(A47:A71,MATCH(TRUE,INDEX(G47:G71&gt;=$B$9,0),0)),"&gt;25")</f>
        <v>23</v>
      </c>
    </row>
    <row r="74" spans="1:8">
      <c r="A74" s="51" t="s">
        <v>575</v>
      </c>
      <c r="C74" s="57">
        <f>IFERROR(INDEX(A47:A71,MATCH(TRUE,INDEX(F47:F71&gt;=$B$9,0),0)),"&gt;25")</f>
        <v>16</v>
      </c>
    </row>
    <row r="75" spans="1:8">
      <c r="A75" s="51" t="s">
        <v>576</v>
      </c>
      <c r="C75" s="52">
        <f>INDEX(F47:F71,MATCH($B$43,A47:A71,0))</f>
        <v>86434.538463470104</v>
      </c>
    </row>
    <row r="76" spans="1:8">
      <c r="A76" s="51" t="s">
        <v>577</v>
      </c>
      <c r="C76" s="52">
        <f>C75-B9</f>
        <v>54116.538463470104</v>
      </c>
    </row>
    <row r="78" spans="1:8">
      <c r="A78" s="89" t="s">
        <v>578</v>
      </c>
      <c r="B78" s="86"/>
      <c r="C78" s="86"/>
      <c r="D78" s="86"/>
      <c r="E78" s="86"/>
      <c r="F78" s="86"/>
      <c r="G78" s="86"/>
      <c r="H78" s="86"/>
    </row>
    <row r="79" spans="1:8">
      <c r="A79" s="86"/>
      <c r="B79" s="86"/>
      <c r="C79" s="86"/>
      <c r="D79" s="86"/>
      <c r="E79" s="86"/>
      <c r="F79" s="86"/>
      <c r="G79" s="86"/>
      <c r="H79" s="86"/>
    </row>
    <row r="80" spans="1:8">
      <c r="A80" s="86"/>
      <c r="B80" s="86"/>
      <c r="C80" s="86"/>
      <c r="D80" s="86"/>
      <c r="E80" s="86"/>
      <c r="F80" s="86"/>
      <c r="G80" s="86"/>
      <c r="H80" s="86"/>
    </row>
  </sheetData>
  <mergeCells count="10">
    <mergeCell ref="A2:H2"/>
    <mergeCell ref="C31:H31"/>
    <mergeCell ref="A78:H80"/>
    <mergeCell ref="A27:H28"/>
    <mergeCell ref="A12:H12"/>
    <mergeCell ref="C6:H6"/>
    <mergeCell ref="C32:H32"/>
    <mergeCell ref="C38:H38"/>
    <mergeCell ref="C41:H41"/>
    <mergeCell ref="C36:H36"/>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48235"/>
  </sheetPr>
  <dimension ref="A1:C33"/>
  <sheetViews>
    <sheetView workbookViewId="0"/>
  </sheetViews>
  <sheetFormatPr defaultRowHeight="15"/>
  <cols>
    <col min="1" max="1" width="38" customWidth="1"/>
    <col min="2" max="2" width="14" customWidth="1"/>
    <col min="3" max="3" width="50" customWidth="1"/>
  </cols>
  <sheetData>
    <row r="1" spans="1:3" ht="18.75">
      <c r="A1" s="31" t="s">
        <v>579</v>
      </c>
    </row>
    <row r="2" spans="1:3" ht="33.950000000000003" customHeight="1">
      <c r="A2" s="90" t="s">
        <v>580</v>
      </c>
      <c r="B2" s="86"/>
      <c r="C2" s="86"/>
    </row>
    <row r="4" spans="1:3">
      <c r="A4" s="32" t="s">
        <v>581</v>
      </c>
      <c r="B4" s="33"/>
      <c r="C4" s="33"/>
    </row>
    <row r="5" spans="1:3">
      <c r="A5" t="s">
        <v>582</v>
      </c>
      <c r="B5" s="42" t="s">
        <v>583</v>
      </c>
    </row>
    <row r="6" spans="1:3">
      <c r="A6" t="s">
        <v>584</v>
      </c>
      <c r="B6" s="61">
        <v>9000</v>
      </c>
      <c r="C6" s="35" t="s">
        <v>585</v>
      </c>
    </row>
    <row r="7" spans="1:3">
      <c r="A7" t="s">
        <v>586</v>
      </c>
      <c r="B7" s="61">
        <v>0</v>
      </c>
      <c r="C7" s="35" t="s">
        <v>587</v>
      </c>
    </row>
    <row r="8" spans="1:3">
      <c r="A8" t="s">
        <v>588</v>
      </c>
      <c r="B8" s="38">
        <v>0</v>
      </c>
      <c r="C8" s="35" t="s">
        <v>589</v>
      </c>
    </row>
    <row r="9" spans="1:3">
      <c r="A9" s="51" t="s">
        <v>590</v>
      </c>
      <c r="B9" s="52">
        <f>B6+B7-B8</f>
        <v>9000</v>
      </c>
    </row>
    <row r="10" spans="1:3">
      <c r="A10" t="s">
        <v>591</v>
      </c>
      <c r="B10" s="37">
        <v>26</v>
      </c>
      <c r="C10" s="35" t="s">
        <v>592</v>
      </c>
    </row>
    <row r="11" spans="1:3">
      <c r="A11" t="s">
        <v>593</v>
      </c>
      <c r="B11" s="61">
        <f>B9/B10</f>
        <v>346.15384615384613</v>
      </c>
    </row>
    <row r="13" spans="1:3">
      <c r="A13" s="32" t="s">
        <v>594</v>
      </c>
      <c r="B13" s="33"/>
      <c r="C13" s="33"/>
    </row>
    <row r="14" spans="1:3">
      <c r="A14" t="s">
        <v>595</v>
      </c>
      <c r="B14" s="61">
        <f>'Solar Reinvestment'!B34</f>
        <v>852</v>
      </c>
    </row>
    <row r="15" spans="1:3">
      <c r="A15" t="s">
        <v>596</v>
      </c>
      <c r="B15" s="38">
        <v>600</v>
      </c>
      <c r="C15" s="35" t="s">
        <v>597</v>
      </c>
    </row>
    <row r="16" spans="1:3">
      <c r="A16" t="s">
        <v>598</v>
      </c>
      <c r="B16" s="38">
        <v>2500</v>
      </c>
      <c r="C16" s="35" t="s">
        <v>599</v>
      </c>
    </row>
    <row r="17" spans="1:3">
      <c r="A17" t="s">
        <v>600</v>
      </c>
      <c r="B17" s="38">
        <v>0</v>
      </c>
    </row>
    <row r="18" spans="1:3">
      <c r="A18" s="51" t="s">
        <v>601</v>
      </c>
      <c r="B18" s="52">
        <f>SUM(B14:B17)</f>
        <v>3952</v>
      </c>
    </row>
    <row r="20" spans="1:3">
      <c r="A20" s="32" t="s">
        <v>602</v>
      </c>
      <c r="B20" s="33"/>
      <c r="C20" s="33"/>
    </row>
    <row r="21" spans="1:3">
      <c r="A21" t="s">
        <v>603</v>
      </c>
      <c r="B21" s="61">
        <f>MIN(B9,B18)</f>
        <v>3952</v>
      </c>
      <c r="C21" s="35" t="s">
        <v>604</v>
      </c>
    </row>
    <row r="22" spans="1:3">
      <c r="A22" t="s">
        <v>605</v>
      </c>
      <c r="B22" s="38">
        <f>B21</f>
        <v>3952</v>
      </c>
      <c r="C22" s="35" t="s">
        <v>606</v>
      </c>
    </row>
    <row r="23" spans="1:3">
      <c r="A23" s="51" t="s">
        <v>607</v>
      </c>
      <c r="B23" s="52">
        <f>B22/B10</f>
        <v>152</v>
      </c>
    </row>
    <row r="24" spans="1:3">
      <c r="A24" t="s">
        <v>608</v>
      </c>
      <c r="B24" s="80">
        <f>B22/B6</f>
        <v>0.43911111111111112</v>
      </c>
    </row>
    <row r="25" spans="1:3">
      <c r="A25" t="s">
        <v>609</v>
      </c>
      <c r="B25" s="61">
        <f>MAX(0,B18-B22)</f>
        <v>0</v>
      </c>
    </row>
    <row r="26" spans="1:3">
      <c r="A26" t="s">
        <v>610</v>
      </c>
      <c r="B26" s="61">
        <f>MAX(0,B9-B18)</f>
        <v>5048</v>
      </c>
      <c r="C26" s="35" t="s">
        <v>611</v>
      </c>
    </row>
    <row r="28" spans="1:3">
      <c r="A28" s="32" t="s">
        <v>612</v>
      </c>
      <c r="B28" s="33"/>
      <c r="C28" s="33"/>
    </row>
    <row r="29" spans="1:3" ht="27.95" customHeight="1">
      <c r="A29" s="89" t="s">
        <v>613</v>
      </c>
      <c r="B29" s="86"/>
      <c r="C29" s="86"/>
    </row>
    <row r="30" spans="1:3" ht="27.95" customHeight="1">
      <c r="A30" s="89" t="s">
        <v>614</v>
      </c>
      <c r="B30" s="86"/>
      <c r="C30" s="86"/>
    </row>
    <row r="31" spans="1:3" ht="27.95" customHeight="1">
      <c r="A31" s="89" t="s">
        <v>615</v>
      </c>
      <c r="B31" s="86"/>
      <c r="C31" s="86"/>
    </row>
    <row r="32" spans="1:3" ht="27.95" customHeight="1">
      <c r="A32" s="89" t="s">
        <v>616</v>
      </c>
      <c r="B32" s="86"/>
      <c r="C32" s="86"/>
    </row>
    <row r="33" spans="1:3" ht="27.95" customHeight="1">
      <c r="A33" s="89" t="s">
        <v>617</v>
      </c>
      <c r="B33" s="86"/>
      <c r="C33" s="86"/>
    </row>
  </sheetData>
  <mergeCells count="6">
    <mergeCell ref="A2:C2"/>
    <mergeCell ref="A33:C33"/>
    <mergeCell ref="A32:C32"/>
    <mergeCell ref="A31:C31"/>
    <mergeCell ref="A30:C30"/>
    <mergeCell ref="A29:C2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sheetPr>
  <dimension ref="A1:C57"/>
  <sheetViews>
    <sheetView workbookViewId="0"/>
  </sheetViews>
  <sheetFormatPr defaultRowHeight="15"/>
  <cols>
    <col min="1" max="1" width="34" customWidth="1"/>
    <col min="2" max="2" width="14" customWidth="1"/>
    <col min="3" max="3" width="46" customWidth="1"/>
  </cols>
  <sheetData>
    <row r="1" spans="1:3" ht="18.75">
      <c r="A1" s="31" t="s">
        <v>618</v>
      </c>
    </row>
    <row r="2" spans="1:3" ht="44.1" customHeight="1">
      <c r="A2" s="90" t="s">
        <v>619</v>
      </c>
      <c r="B2" s="86"/>
      <c r="C2" s="86"/>
    </row>
    <row r="4" spans="1:3">
      <c r="A4" s="51" t="s">
        <v>620</v>
      </c>
      <c r="B4" s="37" t="s">
        <v>93</v>
      </c>
      <c r="C4" s="35" t="s">
        <v>621</v>
      </c>
    </row>
    <row r="5" spans="1:3">
      <c r="A5" t="s">
        <v>622</v>
      </c>
      <c r="B5" s="81"/>
      <c r="C5" s="35" t="s">
        <v>623</v>
      </c>
    </row>
    <row r="6" spans="1:3">
      <c r="A6" s="32" t="s">
        <v>624</v>
      </c>
      <c r="B6" s="33"/>
      <c r="C6" s="33"/>
    </row>
    <row r="7" spans="1:3">
      <c r="A7" t="s">
        <v>625</v>
      </c>
      <c r="B7" s="38"/>
      <c r="C7" s="35" t="s">
        <v>626</v>
      </c>
    </row>
    <row r="8" spans="1:3">
      <c r="A8" t="s">
        <v>627</v>
      </c>
      <c r="B8" s="38"/>
      <c r="C8" s="35"/>
    </row>
    <row r="9" spans="1:3">
      <c r="A9" t="s">
        <v>628</v>
      </c>
      <c r="B9" s="38"/>
      <c r="C9" s="35"/>
    </row>
    <row r="10" spans="1:3">
      <c r="A10" t="s">
        <v>198</v>
      </c>
      <c r="B10" s="38"/>
      <c r="C10" s="35"/>
    </row>
    <row r="11" spans="1:3">
      <c r="A11" t="s">
        <v>199</v>
      </c>
      <c r="B11" s="38"/>
      <c r="C11" s="35"/>
    </row>
    <row r="12" spans="1:3">
      <c r="A12" t="s">
        <v>200</v>
      </c>
      <c r="B12" s="38"/>
      <c r="C12" s="35"/>
    </row>
    <row r="13" spans="1:3">
      <c r="A13" t="s">
        <v>201</v>
      </c>
      <c r="B13" s="38"/>
      <c r="C13" s="35"/>
    </row>
    <row r="14" spans="1:3">
      <c r="A14" t="s">
        <v>202</v>
      </c>
      <c r="B14" s="38"/>
      <c r="C14" s="35"/>
    </row>
    <row r="15" spans="1:3">
      <c r="A15" t="s">
        <v>629</v>
      </c>
      <c r="B15" s="38"/>
      <c r="C15" s="35"/>
    </row>
    <row r="16" spans="1:3">
      <c r="A16" t="s">
        <v>474</v>
      </c>
      <c r="B16" s="38"/>
      <c r="C16" s="35"/>
    </row>
    <row r="17" spans="1:3">
      <c r="A17" t="s">
        <v>630</v>
      </c>
      <c r="B17" s="38"/>
      <c r="C17" s="35"/>
    </row>
    <row r="18" spans="1:3">
      <c r="A18" t="s">
        <v>206</v>
      </c>
      <c r="B18" s="38"/>
      <c r="C18" s="35"/>
    </row>
    <row r="20" spans="1:3">
      <c r="A20" s="32" t="s">
        <v>631</v>
      </c>
      <c r="B20" s="33"/>
      <c r="C20" s="33"/>
    </row>
    <row r="21" spans="1:3">
      <c r="A21" t="s">
        <v>632</v>
      </c>
      <c r="B21" s="78"/>
      <c r="C21" s="35" t="s">
        <v>633</v>
      </c>
    </row>
    <row r="22" spans="1:3">
      <c r="A22" t="s">
        <v>634</v>
      </c>
      <c r="B22" s="78"/>
      <c r="C22" s="35"/>
    </row>
    <row r="23" spans="1:3">
      <c r="A23" t="s">
        <v>635</v>
      </c>
      <c r="B23" s="78"/>
      <c r="C23" s="35"/>
    </row>
    <row r="24" spans="1:3">
      <c r="A24" t="s">
        <v>636</v>
      </c>
      <c r="B24" s="78"/>
      <c r="C24" s="35"/>
    </row>
    <row r="25" spans="1:3">
      <c r="A25" s="32" t="s">
        <v>637</v>
      </c>
      <c r="B25" s="33"/>
      <c r="C25" s="33"/>
    </row>
    <row r="26" spans="1:3">
      <c r="A26" t="s">
        <v>638</v>
      </c>
      <c r="B26" s="38"/>
      <c r="C26" s="35" t="s">
        <v>639</v>
      </c>
    </row>
    <row r="27" spans="1:3">
      <c r="A27" t="s">
        <v>181</v>
      </c>
      <c r="B27" s="38"/>
      <c r="C27" s="35" t="s">
        <v>640</v>
      </c>
    </row>
    <row r="29" spans="1:3">
      <c r="A29" s="32" t="s">
        <v>641</v>
      </c>
      <c r="B29" s="33"/>
      <c r="C29" s="33"/>
    </row>
    <row r="30" spans="1:3">
      <c r="A30" t="s">
        <v>642</v>
      </c>
      <c r="B30" s="61">
        <f>IFERROR(INDEX('CC Detail'!B14:M14,MATCH($B$4,{"Jan","Feb","Mar","Apr","May","Jun","Jul","Aug","Sep","Oct","Nov","Dec"},0)),"")</f>
        <v>0</v>
      </c>
      <c r="C30" s="35" t="s">
        <v>643</v>
      </c>
    </row>
    <row r="31" spans="1:3">
      <c r="A31" t="s">
        <v>158</v>
      </c>
      <c r="B31" s="38"/>
      <c r="C31" s="35" t="s">
        <v>644</v>
      </c>
    </row>
    <row r="32" spans="1:3">
      <c r="A32" t="s">
        <v>162</v>
      </c>
      <c r="B32" s="38"/>
      <c r="C32" s="35"/>
    </row>
    <row r="33" spans="1:3">
      <c r="A33" t="s">
        <v>164</v>
      </c>
      <c r="B33" s="38"/>
      <c r="C33" s="35"/>
    </row>
    <row r="34" spans="1:3">
      <c r="A34" t="s">
        <v>165</v>
      </c>
      <c r="B34" s="38"/>
      <c r="C34" s="35"/>
    </row>
    <row r="35" spans="1:3">
      <c r="A35" t="s">
        <v>166</v>
      </c>
      <c r="B35" s="38"/>
      <c r="C35" s="35"/>
    </row>
    <row r="36" spans="1:3">
      <c r="A36" t="s">
        <v>161</v>
      </c>
      <c r="B36" s="38"/>
      <c r="C36" s="35"/>
    </row>
    <row r="37" spans="1:3">
      <c r="A37" t="s">
        <v>521</v>
      </c>
      <c r="B37" s="38"/>
      <c r="C37" s="35"/>
    </row>
    <row r="38" spans="1:3">
      <c r="A38" t="s">
        <v>645</v>
      </c>
      <c r="B38" s="61">
        <f>SUM(B31:B37)</f>
        <v>0</v>
      </c>
      <c r="C38" s="35" t="s">
        <v>646</v>
      </c>
    </row>
    <row r="40" spans="1:3">
      <c r="A40" s="32" t="s">
        <v>647</v>
      </c>
      <c r="B40" s="33"/>
      <c r="C40" s="33"/>
    </row>
    <row r="41" spans="1:3">
      <c r="A41" t="s">
        <v>648</v>
      </c>
      <c r="B41" s="38"/>
      <c r="C41" s="35" t="s">
        <v>649</v>
      </c>
    </row>
    <row r="42" spans="1:3">
      <c r="A42" t="s">
        <v>650</v>
      </c>
      <c r="B42" s="38"/>
      <c r="C42" s="35"/>
    </row>
    <row r="43" spans="1:3">
      <c r="A43" t="s">
        <v>651</v>
      </c>
      <c r="B43" s="38"/>
      <c r="C43" s="35"/>
    </row>
    <row r="44" spans="1:3">
      <c r="A44" t="s">
        <v>652</v>
      </c>
      <c r="B44" s="38"/>
      <c r="C44" s="35"/>
    </row>
    <row r="45" spans="1:3">
      <c r="A45" t="s">
        <v>653</v>
      </c>
      <c r="B45" s="38"/>
      <c r="C45" s="35"/>
    </row>
    <row r="46" spans="1:3">
      <c r="A46" t="s">
        <v>654</v>
      </c>
      <c r="B46" s="38"/>
      <c r="C46" s="35"/>
    </row>
    <row r="47" spans="1:3">
      <c r="A47" t="s">
        <v>655</v>
      </c>
      <c r="B47" s="38"/>
      <c r="C47" s="35"/>
    </row>
    <row r="48" spans="1:3">
      <c r="A48" t="s">
        <v>656</v>
      </c>
      <c r="B48" s="38"/>
      <c r="C48" s="35"/>
    </row>
    <row r="49" spans="1:3">
      <c r="A49" t="s">
        <v>657</v>
      </c>
      <c r="B49" s="38"/>
      <c r="C49" s="35"/>
    </row>
    <row r="51" spans="1:3">
      <c r="A51" s="32" t="s">
        <v>658</v>
      </c>
      <c r="B51" s="33"/>
      <c r="C51" s="33"/>
    </row>
    <row r="52" spans="1:3">
      <c r="A52" t="s">
        <v>659</v>
      </c>
      <c r="B52" s="38"/>
      <c r="C52" s="35" t="s">
        <v>660</v>
      </c>
    </row>
    <row r="53" spans="1:3">
      <c r="A53" t="s">
        <v>661</v>
      </c>
      <c r="B53" s="38"/>
      <c r="C53" s="35"/>
    </row>
    <row r="54" spans="1:3">
      <c r="A54" t="s">
        <v>662</v>
      </c>
      <c r="B54" s="38"/>
      <c r="C54" s="35"/>
    </row>
    <row r="56" spans="1:3">
      <c r="A56" s="89" t="s">
        <v>663</v>
      </c>
      <c r="B56" s="86"/>
      <c r="C56" s="86"/>
    </row>
    <row r="57" spans="1:3">
      <c r="A57" s="86"/>
      <c r="B57" s="86"/>
      <c r="C57" s="86"/>
    </row>
  </sheetData>
  <mergeCells count="2">
    <mergeCell ref="A56:C57"/>
    <mergeCell ref="A2:C2"/>
  </mergeCells>
  <dataValidations count="1">
    <dataValidation type="list" sqref="B4" xr:uid="{00000000-0002-0000-1100-000000000000}">
      <formula1>"Jan,Feb,Mar,Apr,May,Jun,Jul,Aug,Sep,Oct,Nov,Dec"</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sheetPr>
  <dimension ref="A1:N43"/>
  <sheetViews>
    <sheetView workbookViewId="0"/>
  </sheetViews>
  <sheetFormatPr defaultRowHeight="15"/>
  <cols>
    <col min="1" max="1" width="30" customWidth="1"/>
    <col min="2" max="13" width="8" customWidth="1"/>
    <col min="14" max="14" width="10" customWidth="1"/>
  </cols>
  <sheetData>
    <row r="1" spans="1:14" ht="18.75">
      <c r="A1" s="31" t="s">
        <v>664</v>
      </c>
    </row>
    <row r="2" spans="1:14" ht="44.1" customHeight="1">
      <c r="A2" s="90" t="s">
        <v>665</v>
      </c>
      <c r="B2" s="86"/>
      <c r="C2" s="86"/>
      <c r="D2" s="86"/>
      <c r="E2" s="86"/>
      <c r="F2" s="86"/>
      <c r="G2" s="86"/>
      <c r="H2" s="86"/>
      <c r="I2" s="86"/>
      <c r="J2" s="86"/>
      <c r="K2" s="86"/>
      <c r="L2" s="86"/>
      <c r="M2" s="86"/>
      <c r="N2" s="86"/>
    </row>
    <row r="4" spans="1:14">
      <c r="A4" s="32" t="s">
        <v>666</v>
      </c>
      <c r="B4" s="33"/>
      <c r="C4" s="33"/>
      <c r="D4" s="33"/>
      <c r="E4" s="33"/>
      <c r="F4" s="33"/>
      <c r="G4" s="33"/>
      <c r="H4" s="33"/>
      <c r="I4" s="33"/>
      <c r="J4" s="33"/>
      <c r="K4" s="33"/>
      <c r="L4" s="33"/>
      <c r="M4" s="33"/>
      <c r="N4" s="33"/>
    </row>
    <row r="5" spans="1:14">
      <c r="A5" t="s">
        <v>667</v>
      </c>
      <c r="B5" s="38">
        <v>200</v>
      </c>
    </row>
    <row r="6" spans="1:14">
      <c r="A6" t="s">
        <v>668</v>
      </c>
      <c r="B6" s="38">
        <v>200</v>
      </c>
    </row>
    <row r="7" spans="1:14">
      <c r="A7" t="s">
        <v>669</v>
      </c>
      <c r="B7" s="38">
        <v>300</v>
      </c>
      <c r="C7" s="92" t="s">
        <v>670</v>
      </c>
      <c r="D7" s="86"/>
      <c r="E7" s="86"/>
      <c r="F7" s="86"/>
      <c r="G7" s="86"/>
      <c r="H7" s="86"/>
    </row>
    <row r="8" spans="1:14">
      <c r="A8" s="51" t="s">
        <v>671</v>
      </c>
      <c r="B8" s="82">
        <f>B5+B6+B7</f>
        <v>700</v>
      </c>
    </row>
    <row r="9" spans="1:14">
      <c r="A9" t="s">
        <v>672</v>
      </c>
      <c r="B9" s="38">
        <v>150</v>
      </c>
      <c r="C9" s="92" t="s">
        <v>673</v>
      </c>
      <c r="D9" s="86"/>
      <c r="E9" s="86"/>
      <c r="F9" s="86"/>
      <c r="G9" s="86"/>
      <c r="H9" s="86"/>
    </row>
    <row r="10" spans="1:14">
      <c r="A10" t="s">
        <v>674</v>
      </c>
      <c r="B10" s="37" t="s">
        <v>93</v>
      </c>
      <c r="C10" s="92" t="s">
        <v>675</v>
      </c>
      <c r="D10" s="86"/>
      <c r="E10" s="86"/>
      <c r="F10" s="86"/>
      <c r="G10" s="86"/>
      <c r="H10" s="86"/>
    </row>
    <row r="12" spans="1:14">
      <c r="A12" s="32" t="s">
        <v>676</v>
      </c>
      <c r="B12" s="33"/>
      <c r="C12" s="33"/>
      <c r="D12" s="33"/>
      <c r="E12" s="33"/>
      <c r="F12" s="33"/>
      <c r="G12" s="33"/>
      <c r="H12" s="33"/>
      <c r="I12" s="33"/>
      <c r="J12" s="33"/>
      <c r="K12" s="33"/>
      <c r="L12" s="33"/>
      <c r="M12" s="33"/>
      <c r="N12" s="33"/>
    </row>
    <row r="13" spans="1:14">
      <c r="A13" s="41" t="s">
        <v>677</v>
      </c>
      <c r="B13" s="41" t="s">
        <v>678</v>
      </c>
      <c r="C13" s="41" t="s">
        <v>679</v>
      </c>
      <c r="D13" s="41" t="s">
        <v>680</v>
      </c>
      <c r="E13" s="41" t="s">
        <v>681</v>
      </c>
    </row>
    <row r="14" spans="1:14">
      <c r="A14" s="70" t="s">
        <v>682</v>
      </c>
      <c r="B14" s="56">
        <f>B5</f>
        <v>200</v>
      </c>
      <c r="C14" s="56">
        <f>INDEX(B22:M22,MATCH($B$10,{"Jan","Feb","Mar","Apr","May","Jun","Jul","Aug","Sep","Oct","Nov","Dec"},0))</f>
        <v>0</v>
      </c>
      <c r="D14" s="69">
        <f>INDEX(B23:M23,MATCH($B$10,{"Jan","Feb","Mar","Apr","May","Jun","Jul","Aug","Sep","Oct","Nov","Dec"},0))</f>
        <v>1800</v>
      </c>
      <c r="E14" s="70" t="str">
        <f>IF(D14="","",IF(D14&lt;0,"🔴 over — pause",IF(D14&gt;=$B$9,"🟢 splurge OK","🟡 on track")))</f>
        <v>🟢 splurge OK</v>
      </c>
    </row>
    <row r="15" spans="1:14">
      <c r="A15" s="70" t="s">
        <v>683</v>
      </c>
      <c r="B15" s="56">
        <f>B6</f>
        <v>200</v>
      </c>
      <c r="C15" s="56">
        <f>INDEX(B25:M25,MATCH($B$10,{"Jan","Feb","Mar","Apr","May","Jun","Jul","Aug","Sep","Oct","Nov","Dec"},0))</f>
        <v>0</v>
      </c>
      <c r="D15" s="69">
        <f>INDEX(B26:M26,MATCH($B$10,{"Jan","Feb","Mar","Apr","May","Jun","Jul","Aug","Sep","Oct","Nov","Dec"},0))</f>
        <v>1800</v>
      </c>
      <c r="E15" s="70" t="str">
        <f>IF(D15="","",IF(D15&lt;0,"🔴 over — pause",IF(D15&gt;=$B$9,"🟢 splurge OK","🟡 on track")))</f>
        <v>🟢 splurge OK</v>
      </c>
    </row>
    <row r="16" spans="1:14">
      <c r="A16" s="70" t="s">
        <v>684</v>
      </c>
      <c r="B16" s="56">
        <f>B7</f>
        <v>300</v>
      </c>
      <c r="C16" s="56">
        <f>INDEX(B28:M28,MATCH($B$10,{"Jan","Feb","Mar","Apr","May","Jun","Jul","Aug","Sep","Oct","Nov","Dec"},0))</f>
        <v>0</v>
      </c>
      <c r="D16" s="69">
        <f>INDEX(B29:M29,MATCH($B$10,{"Jan","Feb","Mar","Apr","May","Jun","Jul","Aug","Sep","Oct","Nov","Dec"},0))</f>
        <v>2700</v>
      </c>
      <c r="E16" s="70" t="str">
        <f>IF(D16="","",IF(D16&lt;0,"🔴 over — pause",IF(D16&gt;=$B$9,"🟢 splurge OK","🟡 on track")))</f>
        <v>🟢 splurge OK</v>
      </c>
    </row>
    <row r="17" spans="1:14">
      <c r="A17" s="67" t="s">
        <v>685</v>
      </c>
      <c r="B17" s="56">
        <f>B8</f>
        <v>700</v>
      </c>
      <c r="C17" s="56">
        <f>INDEX(B30:M30,MATCH($B$10,{"Jan","Feb","Mar","Apr","May","Jun","Jul","Aug","Sep","Oct","Nov","Dec"},0))</f>
        <v>0</v>
      </c>
      <c r="D17" s="69">
        <f>INDEX(B32:M32,MATCH($B$10,{"Jan","Feb","Mar","Apr","May","Jun","Jul","Aug","Sep","Oct","Nov","Dec"},0))</f>
        <v>6300</v>
      </c>
      <c r="E17" s="70" t="str">
        <f>IF(D17="","",IF(D17&lt;0,"🔴 over — pause",IF(D17&gt;=$B$9,"🟢 splurge OK","🟡 on track")))</f>
        <v>🟢 splurge OK</v>
      </c>
    </row>
    <row r="19" spans="1:14">
      <c r="A19" s="32" t="s">
        <v>686</v>
      </c>
      <c r="B19" s="33"/>
      <c r="C19" s="33"/>
      <c r="D19" s="33"/>
      <c r="E19" s="33"/>
      <c r="F19" s="33"/>
      <c r="G19" s="33"/>
      <c r="H19" s="33"/>
      <c r="I19" s="33"/>
      <c r="J19" s="33"/>
      <c r="K19" s="33"/>
      <c r="L19" s="33"/>
      <c r="M19" s="33"/>
      <c r="N19" s="33"/>
    </row>
    <row r="20" spans="1:14">
      <c r="A20" s="83"/>
      <c r="B20" s="41" t="s">
        <v>85</v>
      </c>
      <c r="C20" s="41" t="s">
        <v>86</v>
      </c>
      <c r="D20" s="41" t="s">
        <v>87</v>
      </c>
      <c r="E20" s="41" t="s">
        <v>88</v>
      </c>
      <c r="F20" s="41" t="s">
        <v>89</v>
      </c>
      <c r="G20" s="41" t="s">
        <v>90</v>
      </c>
      <c r="H20" s="41" t="s">
        <v>91</v>
      </c>
      <c r="I20" s="41" t="s">
        <v>92</v>
      </c>
      <c r="J20" s="41" t="s">
        <v>93</v>
      </c>
      <c r="K20" s="41" t="s">
        <v>94</v>
      </c>
      <c r="L20" s="41" t="s">
        <v>95</v>
      </c>
      <c r="M20" s="41" t="s">
        <v>96</v>
      </c>
      <c r="N20" s="41" t="s">
        <v>157</v>
      </c>
    </row>
    <row r="21" spans="1:14">
      <c r="A21" s="70" t="s">
        <v>687</v>
      </c>
      <c r="B21" s="56">
        <f t="shared" ref="B21:M21" si="0">$B$5</f>
        <v>200</v>
      </c>
      <c r="C21" s="56">
        <f t="shared" si="0"/>
        <v>200</v>
      </c>
      <c r="D21" s="56">
        <f t="shared" si="0"/>
        <v>200</v>
      </c>
      <c r="E21" s="56">
        <f t="shared" si="0"/>
        <v>200</v>
      </c>
      <c r="F21" s="56">
        <f t="shared" si="0"/>
        <v>200</v>
      </c>
      <c r="G21" s="56">
        <f t="shared" si="0"/>
        <v>200</v>
      </c>
      <c r="H21" s="56">
        <f t="shared" si="0"/>
        <v>200</v>
      </c>
      <c r="I21" s="56">
        <f t="shared" si="0"/>
        <v>200</v>
      </c>
      <c r="J21" s="56">
        <f t="shared" si="0"/>
        <v>200</v>
      </c>
      <c r="K21" s="56">
        <f t="shared" si="0"/>
        <v>200</v>
      </c>
      <c r="L21" s="56">
        <f t="shared" si="0"/>
        <v>200</v>
      </c>
      <c r="M21" s="56">
        <f t="shared" si="0"/>
        <v>200</v>
      </c>
      <c r="N21" s="56">
        <f>SUM(B21:M21)</f>
        <v>2400</v>
      </c>
    </row>
    <row r="22" spans="1:14">
      <c r="A22" s="70" t="s">
        <v>688</v>
      </c>
      <c r="B22" s="71"/>
      <c r="C22" s="71"/>
      <c r="D22" s="71"/>
      <c r="E22" s="71"/>
      <c r="F22" s="71"/>
      <c r="G22" s="71"/>
      <c r="H22" s="71"/>
      <c r="I22" s="71"/>
      <c r="J22" s="71"/>
      <c r="K22" s="71"/>
      <c r="L22" s="71"/>
      <c r="M22" s="71"/>
      <c r="N22" s="56">
        <f>SUM(B22:M22)</f>
        <v>0</v>
      </c>
    </row>
    <row r="23" spans="1:14">
      <c r="A23" s="67" t="s">
        <v>689</v>
      </c>
      <c r="B23" s="72">
        <f>B21-B22</f>
        <v>200</v>
      </c>
      <c r="C23" s="72">
        <f t="shared" ref="C23:M23" si="1">B23+C21-C22</f>
        <v>400</v>
      </c>
      <c r="D23" s="72">
        <f t="shared" si="1"/>
        <v>600</v>
      </c>
      <c r="E23" s="72">
        <f t="shared" si="1"/>
        <v>800</v>
      </c>
      <c r="F23" s="72">
        <f t="shared" si="1"/>
        <v>1000</v>
      </c>
      <c r="G23" s="72">
        <f t="shared" si="1"/>
        <v>1200</v>
      </c>
      <c r="H23" s="72">
        <f t="shared" si="1"/>
        <v>1400</v>
      </c>
      <c r="I23" s="72">
        <f t="shared" si="1"/>
        <v>1600</v>
      </c>
      <c r="J23" s="72">
        <f t="shared" si="1"/>
        <v>1800</v>
      </c>
      <c r="K23" s="72">
        <f t="shared" si="1"/>
        <v>2000</v>
      </c>
      <c r="L23" s="72">
        <f t="shared" si="1"/>
        <v>2200</v>
      </c>
      <c r="M23" s="72">
        <f t="shared" si="1"/>
        <v>2400</v>
      </c>
      <c r="N23" s="72">
        <f>M23</f>
        <v>2400</v>
      </c>
    </row>
    <row r="24" spans="1:14">
      <c r="A24" s="70" t="s">
        <v>690</v>
      </c>
      <c r="B24" s="56">
        <f t="shared" ref="B24:M24" si="2">$B$6</f>
        <v>200</v>
      </c>
      <c r="C24" s="56">
        <f t="shared" si="2"/>
        <v>200</v>
      </c>
      <c r="D24" s="56">
        <f t="shared" si="2"/>
        <v>200</v>
      </c>
      <c r="E24" s="56">
        <f t="shared" si="2"/>
        <v>200</v>
      </c>
      <c r="F24" s="56">
        <f t="shared" si="2"/>
        <v>200</v>
      </c>
      <c r="G24" s="56">
        <f t="shared" si="2"/>
        <v>200</v>
      </c>
      <c r="H24" s="56">
        <f t="shared" si="2"/>
        <v>200</v>
      </c>
      <c r="I24" s="56">
        <f t="shared" si="2"/>
        <v>200</v>
      </c>
      <c r="J24" s="56">
        <f t="shared" si="2"/>
        <v>200</v>
      </c>
      <c r="K24" s="56">
        <f t="shared" si="2"/>
        <v>200</v>
      </c>
      <c r="L24" s="56">
        <f t="shared" si="2"/>
        <v>200</v>
      </c>
      <c r="M24" s="56">
        <f t="shared" si="2"/>
        <v>200</v>
      </c>
      <c r="N24" s="56">
        <f>SUM(B24:M24)</f>
        <v>2400</v>
      </c>
    </row>
    <row r="25" spans="1:14">
      <c r="A25" s="70" t="s">
        <v>691</v>
      </c>
      <c r="B25" s="71"/>
      <c r="C25" s="71"/>
      <c r="D25" s="71"/>
      <c r="E25" s="71"/>
      <c r="F25" s="71"/>
      <c r="G25" s="71"/>
      <c r="H25" s="71"/>
      <c r="I25" s="71"/>
      <c r="J25" s="71"/>
      <c r="K25" s="71"/>
      <c r="L25" s="71"/>
      <c r="M25" s="71"/>
      <c r="N25" s="56">
        <f>SUM(B25:M25)</f>
        <v>0</v>
      </c>
    </row>
    <row r="26" spans="1:14">
      <c r="A26" s="67" t="s">
        <v>692</v>
      </c>
      <c r="B26" s="72">
        <f>B24-B25</f>
        <v>200</v>
      </c>
      <c r="C26" s="72">
        <f t="shared" ref="C26:M26" si="3">B26+C24-C25</f>
        <v>400</v>
      </c>
      <c r="D26" s="72">
        <f t="shared" si="3"/>
        <v>600</v>
      </c>
      <c r="E26" s="72">
        <f t="shared" si="3"/>
        <v>800</v>
      </c>
      <c r="F26" s="72">
        <f t="shared" si="3"/>
        <v>1000</v>
      </c>
      <c r="G26" s="72">
        <f t="shared" si="3"/>
        <v>1200</v>
      </c>
      <c r="H26" s="72">
        <f t="shared" si="3"/>
        <v>1400</v>
      </c>
      <c r="I26" s="72">
        <f t="shared" si="3"/>
        <v>1600</v>
      </c>
      <c r="J26" s="72">
        <f t="shared" si="3"/>
        <v>1800</v>
      </c>
      <c r="K26" s="72">
        <f t="shared" si="3"/>
        <v>2000</v>
      </c>
      <c r="L26" s="72">
        <f t="shared" si="3"/>
        <v>2200</v>
      </c>
      <c r="M26" s="72">
        <f t="shared" si="3"/>
        <v>2400</v>
      </c>
      <c r="N26" s="72">
        <f>M26</f>
        <v>2400</v>
      </c>
    </row>
    <row r="27" spans="1:14">
      <c r="A27" s="70" t="s">
        <v>693</v>
      </c>
      <c r="B27" s="56">
        <f t="shared" ref="B27:M27" si="4">$B$7</f>
        <v>300</v>
      </c>
      <c r="C27" s="56">
        <f t="shared" si="4"/>
        <v>300</v>
      </c>
      <c r="D27" s="56">
        <f t="shared" si="4"/>
        <v>300</v>
      </c>
      <c r="E27" s="56">
        <f t="shared" si="4"/>
        <v>300</v>
      </c>
      <c r="F27" s="56">
        <f t="shared" si="4"/>
        <v>300</v>
      </c>
      <c r="G27" s="56">
        <f t="shared" si="4"/>
        <v>300</v>
      </c>
      <c r="H27" s="56">
        <f t="shared" si="4"/>
        <v>300</v>
      </c>
      <c r="I27" s="56">
        <f t="shared" si="4"/>
        <v>300</v>
      </c>
      <c r="J27" s="56">
        <f t="shared" si="4"/>
        <v>300</v>
      </c>
      <c r="K27" s="56">
        <f t="shared" si="4"/>
        <v>300</v>
      </c>
      <c r="L27" s="56">
        <f t="shared" si="4"/>
        <v>300</v>
      </c>
      <c r="M27" s="56">
        <f t="shared" si="4"/>
        <v>300</v>
      </c>
      <c r="N27" s="56">
        <f>SUM(B27:M27)</f>
        <v>3600</v>
      </c>
    </row>
    <row r="28" spans="1:14">
      <c r="A28" s="70" t="s">
        <v>694</v>
      </c>
      <c r="B28" s="71"/>
      <c r="C28" s="71"/>
      <c r="D28" s="71"/>
      <c r="E28" s="71"/>
      <c r="F28" s="71"/>
      <c r="G28" s="71"/>
      <c r="H28" s="71"/>
      <c r="I28" s="71"/>
      <c r="J28" s="71"/>
      <c r="K28" s="71"/>
      <c r="L28" s="71"/>
      <c r="M28" s="71"/>
      <c r="N28" s="56">
        <f>SUM(B28:M28)</f>
        <v>0</v>
      </c>
    </row>
    <row r="29" spans="1:14">
      <c r="A29" s="67" t="s">
        <v>695</v>
      </c>
      <c r="B29" s="72">
        <f>B27-B28</f>
        <v>300</v>
      </c>
      <c r="C29" s="72">
        <f t="shared" ref="C29:M29" si="5">B29+C27-C28</f>
        <v>600</v>
      </c>
      <c r="D29" s="72">
        <f t="shared" si="5"/>
        <v>900</v>
      </c>
      <c r="E29" s="72">
        <f t="shared" si="5"/>
        <v>1200</v>
      </c>
      <c r="F29" s="72">
        <f t="shared" si="5"/>
        <v>1500</v>
      </c>
      <c r="G29" s="72">
        <f t="shared" si="5"/>
        <v>1800</v>
      </c>
      <c r="H29" s="72">
        <f t="shared" si="5"/>
        <v>2100</v>
      </c>
      <c r="I29" s="72">
        <f t="shared" si="5"/>
        <v>2400</v>
      </c>
      <c r="J29" s="72">
        <f t="shared" si="5"/>
        <v>2700</v>
      </c>
      <c r="K29" s="72">
        <f t="shared" si="5"/>
        <v>3000</v>
      </c>
      <c r="L29" s="72">
        <f t="shared" si="5"/>
        <v>3300</v>
      </c>
      <c r="M29" s="72">
        <f t="shared" si="5"/>
        <v>3600</v>
      </c>
      <c r="N29" s="72">
        <f>M29</f>
        <v>3600</v>
      </c>
    </row>
    <row r="30" spans="1:14">
      <c r="A30" s="70" t="s">
        <v>696</v>
      </c>
      <c r="B30" s="56">
        <f t="shared" ref="B30:M30" si="6">B22+B25+B28</f>
        <v>0</v>
      </c>
      <c r="C30" s="56">
        <f t="shared" si="6"/>
        <v>0</v>
      </c>
      <c r="D30" s="56">
        <f t="shared" si="6"/>
        <v>0</v>
      </c>
      <c r="E30" s="56">
        <f t="shared" si="6"/>
        <v>0</v>
      </c>
      <c r="F30" s="56">
        <f t="shared" si="6"/>
        <v>0</v>
      </c>
      <c r="G30" s="56">
        <f t="shared" si="6"/>
        <v>0</v>
      </c>
      <c r="H30" s="56">
        <f t="shared" si="6"/>
        <v>0</v>
      </c>
      <c r="I30" s="56">
        <f t="shared" si="6"/>
        <v>0</v>
      </c>
      <c r="J30" s="56">
        <f t="shared" si="6"/>
        <v>0</v>
      </c>
      <c r="K30" s="56">
        <f t="shared" si="6"/>
        <v>0</v>
      </c>
      <c r="L30" s="56">
        <f t="shared" si="6"/>
        <v>0</v>
      </c>
      <c r="M30" s="56">
        <f t="shared" si="6"/>
        <v>0</v>
      </c>
      <c r="N30" s="56">
        <f>SUM(B30:M30)</f>
        <v>0</v>
      </c>
    </row>
    <row r="31" spans="1:14">
      <c r="A31" s="70" t="s">
        <v>697</v>
      </c>
      <c r="B31" s="56">
        <f t="shared" ref="B31:M31" si="7">B21+B24+B27</f>
        <v>700</v>
      </c>
      <c r="C31" s="56">
        <f t="shared" si="7"/>
        <v>700</v>
      </c>
      <c r="D31" s="56">
        <f t="shared" si="7"/>
        <v>700</v>
      </c>
      <c r="E31" s="56">
        <f t="shared" si="7"/>
        <v>700</v>
      </c>
      <c r="F31" s="56">
        <f t="shared" si="7"/>
        <v>700</v>
      </c>
      <c r="G31" s="56">
        <f t="shared" si="7"/>
        <v>700</v>
      </c>
      <c r="H31" s="56">
        <f t="shared" si="7"/>
        <v>700</v>
      </c>
      <c r="I31" s="56">
        <f t="shared" si="7"/>
        <v>700</v>
      </c>
      <c r="J31" s="56">
        <f t="shared" si="7"/>
        <v>700</v>
      </c>
      <c r="K31" s="56">
        <f t="shared" si="7"/>
        <v>700</v>
      </c>
      <c r="L31" s="56">
        <f t="shared" si="7"/>
        <v>700</v>
      </c>
      <c r="M31" s="56">
        <f t="shared" si="7"/>
        <v>700</v>
      </c>
      <c r="N31" s="56">
        <f>SUM(B31:M31)</f>
        <v>8400</v>
      </c>
    </row>
    <row r="32" spans="1:14">
      <c r="A32" s="67" t="s">
        <v>698</v>
      </c>
      <c r="B32" s="72">
        <f t="shared" ref="B32:M32" si="8">B23+B26+B29</f>
        <v>700</v>
      </c>
      <c r="C32" s="72">
        <f t="shared" si="8"/>
        <v>1400</v>
      </c>
      <c r="D32" s="72">
        <f t="shared" si="8"/>
        <v>2100</v>
      </c>
      <c r="E32" s="72">
        <f t="shared" si="8"/>
        <v>2800</v>
      </c>
      <c r="F32" s="72">
        <f t="shared" si="8"/>
        <v>3500</v>
      </c>
      <c r="G32" s="72">
        <f t="shared" si="8"/>
        <v>4200</v>
      </c>
      <c r="H32" s="72">
        <f t="shared" si="8"/>
        <v>4900</v>
      </c>
      <c r="I32" s="72">
        <f t="shared" si="8"/>
        <v>5600</v>
      </c>
      <c r="J32" s="72">
        <f t="shared" si="8"/>
        <v>6300</v>
      </c>
      <c r="K32" s="72">
        <f t="shared" si="8"/>
        <v>7000</v>
      </c>
      <c r="L32" s="72">
        <f t="shared" si="8"/>
        <v>7700</v>
      </c>
      <c r="M32" s="72">
        <f t="shared" si="8"/>
        <v>8400</v>
      </c>
      <c r="N32" s="72">
        <f>M32</f>
        <v>8400</v>
      </c>
    </row>
    <row r="34" spans="1:14">
      <c r="A34" s="32" t="s">
        <v>699</v>
      </c>
      <c r="B34" s="33"/>
      <c r="C34" s="33"/>
      <c r="D34" s="33"/>
      <c r="E34" s="33"/>
      <c r="F34" s="33"/>
      <c r="G34" s="33"/>
      <c r="H34" s="33"/>
      <c r="I34" s="33"/>
      <c r="J34" s="33"/>
      <c r="K34" s="33"/>
      <c r="L34" s="33"/>
      <c r="M34" s="33"/>
      <c r="N34" s="33"/>
    </row>
    <row r="35" spans="1:14">
      <c r="A35" t="s">
        <v>700</v>
      </c>
      <c r="B35" s="61">
        <f>N31</f>
        <v>8400</v>
      </c>
    </row>
    <row r="36" spans="1:14">
      <c r="A36" t="s">
        <v>701</v>
      </c>
      <c r="B36" s="61">
        <f>N30</f>
        <v>0</v>
      </c>
    </row>
    <row r="37" spans="1:14">
      <c r="A37" s="51" t="s">
        <v>702</v>
      </c>
      <c r="B37" s="52">
        <f>N30-N31</f>
        <v>-8400</v>
      </c>
      <c r="C37" s="92" t="s">
        <v>703</v>
      </c>
      <c r="D37" s="86"/>
      <c r="E37" s="86"/>
      <c r="F37" s="86"/>
      <c r="G37" s="86"/>
      <c r="H37" s="86"/>
    </row>
    <row r="38" spans="1:14">
      <c r="A38" t="s">
        <v>704</v>
      </c>
      <c r="B38" s="84">
        <f>(1+'FIRE Dashboard'!B12)^20</f>
        <v>2.142550463230176</v>
      </c>
    </row>
    <row r="39" spans="1:14">
      <c r="A39" s="51" t="s">
        <v>705</v>
      </c>
      <c r="B39" s="52">
        <f>MAX(0,B37)*B38</f>
        <v>0</v>
      </c>
      <c r="C39" s="92" t="s">
        <v>706</v>
      </c>
      <c r="D39" s="86"/>
      <c r="E39" s="86"/>
      <c r="F39" s="86"/>
      <c r="G39" s="86"/>
      <c r="H39" s="86"/>
    </row>
    <row r="41" spans="1:14">
      <c r="A41" s="89" t="s">
        <v>707</v>
      </c>
      <c r="B41" s="86"/>
      <c r="C41" s="86"/>
      <c r="D41" s="86"/>
      <c r="E41" s="86"/>
      <c r="F41" s="86"/>
      <c r="G41" s="86"/>
      <c r="H41" s="86"/>
      <c r="I41" s="86"/>
      <c r="J41" s="86"/>
      <c r="K41" s="86"/>
      <c r="L41" s="86"/>
      <c r="M41" s="86"/>
      <c r="N41" s="86"/>
    </row>
    <row r="42" spans="1:14">
      <c r="A42" s="86"/>
      <c r="B42" s="86"/>
      <c r="C42" s="86"/>
      <c r="D42" s="86"/>
      <c r="E42" s="86"/>
      <c r="F42" s="86"/>
      <c r="G42" s="86"/>
      <c r="H42" s="86"/>
      <c r="I42" s="86"/>
      <c r="J42" s="86"/>
      <c r="K42" s="86"/>
      <c r="L42" s="86"/>
      <c r="M42" s="86"/>
      <c r="N42" s="86"/>
    </row>
    <row r="43" spans="1:14">
      <c r="A43" s="86"/>
      <c r="B43" s="86"/>
      <c r="C43" s="86"/>
      <c r="D43" s="86"/>
      <c r="E43" s="86"/>
      <c r="F43" s="86"/>
      <c r="G43" s="86"/>
      <c r="H43" s="86"/>
      <c r="I43" s="86"/>
      <c r="J43" s="86"/>
      <c r="K43" s="86"/>
      <c r="L43" s="86"/>
      <c r="M43" s="86"/>
      <c r="N43" s="86"/>
    </row>
  </sheetData>
  <mergeCells count="7">
    <mergeCell ref="A41:N43"/>
    <mergeCell ref="C7:H7"/>
    <mergeCell ref="C10:H10"/>
    <mergeCell ref="C37:H37"/>
    <mergeCell ref="C9:H9"/>
    <mergeCell ref="A2:N2"/>
    <mergeCell ref="C39:H39"/>
  </mergeCells>
  <conditionalFormatting sqref="B23:M23">
    <cfRule type="cellIs" dxfId="7" priority="1" operator="lessThan">
      <formula>0</formula>
    </cfRule>
    <cfRule type="cellIs" dxfId="6" priority="2" operator="greaterThanOrEqual">
      <formula>$B$9</formula>
    </cfRule>
  </conditionalFormatting>
  <conditionalFormatting sqref="B26:M26">
    <cfRule type="cellIs" dxfId="5" priority="3" operator="lessThan">
      <formula>0</formula>
    </cfRule>
    <cfRule type="cellIs" dxfId="4" priority="4" operator="greaterThanOrEqual">
      <formula>$B$9</formula>
    </cfRule>
  </conditionalFormatting>
  <conditionalFormatting sqref="B29:M29">
    <cfRule type="cellIs" dxfId="3" priority="5" operator="lessThan">
      <formula>0</formula>
    </cfRule>
    <cfRule type="cellIs" dxfId="2" priority="6" operator="greaterThanOrEqual">
      <formula>$B$9</formula>
    </cfRule>
  </conditionalFormatting>
  <conditionalFormatting sqref="B32:M32">
    <cfRule type="cellIs" dxfId="1" priority="7" operator="lessThan">
      <formula>0</formula>
    </cfRule>
    <cfRule type="cellIs" dxfId="0" priority="8" operator="greaterThanOrEqual">
      <formula>$B$9</formula>
    </cfRule>
  </conditionalFormatting>
  <dataValidations count="1">
    <dataValidation type="list" sqref="B10" xr:uid="{00000000-0002-0000-1200-000000000000}">
      <formula1>"Jan,Feb,Mar,Apr,May,Jun,Jul,Aug,Sep,Oct,Nov,Dec"</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Income Statement</vt:lpstr>
      <vt:lpstr>CC Detail</vt:lpstr>
      <vt:lpstr>Solar ROI</vt:lpstr>
      <vt:lpstr>Balances</vt:lpstr>
      <vt:lpstr>Comp &amp; Benefits</vt:lpstr>
      <vt:lpstr>Scenarios</vt:lpstr>
      <vt:lpstr>Charts</vt:lpstr>
      <vt:lpstr>Imports - Checking</vt:lpstr>
      <vt:lpstr>Imports - Savings</vt:lpstr>
      <vt:lpstr>Imports - Barclay</vt:lpstr>
      <vt:lpstr>Rules</vt:lpstr>
      <vt:lpstr>Pension - Sue</vt:lpstr>
      <vt:lpstr>FIRE Dashboard</vt:lpstr>
      <vt:lpstr>Amazon Reconciliation</vt:lpstr>
      <vt:lpstr>Solar Reinvestment</vt:lpstr>
      <vt:lpstr>HSA Election Planner</vt:lpstr>
      <vt:lpstr>Monthly Entry</vt:lpstr>
      <vt:lpstr>Spending Guardrail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 Naughton</cp:lastModifiedBy>
  <dcterms:created xsi:type="dcterms:W3CDTF">2026-09-20T00:20:57Z</dcterms:created>
  <dcterms:modified xsi:type="dcterms:W3CDTF">2026-09-29T00:49:41Z</dcterms:modified>
</cp:coreProperties>
</file>